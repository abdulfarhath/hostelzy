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ills" sheetId="2" state="visible" r:id="rId2"/>
    <sheet name="P&amp;L" sheetId="3" state="visible" r:id="rId3"/>
    <sheet name="Budget" sheetId="4" state="visible" r:id="rId4"/>
    <sheet name="Money in" sheetId="5" state="visible" r:id="rId5"/>
    <sheet name="Money out" sheetId="6" state="visible" r:id="rId6"/>
    <sheet name="Rewards" sheetId="7" state="visible" r:id="rId7"/>
    <sheet name="Partners" sheetId="8" state="visible" r:id="rId8"/>
    <sheet name="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₹#,##0;[Red]-₹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EC3013"/>
      </patternFill>
    </fill>
    <fill>
      <patternFill patternType="solid">
        <fgColor rgb="00EEEEEE"/>
      </patternFill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164" fontId="2" fillId="0" borderId="0" pivotButton="0" quotePrefix="0" xfId="0"/>
    <xf numFmtId="0" fontId="0" fillId="4" borderId="0" pivotButton="0" quotePrefix="0" xfId="0"/>
    <xf numFmtId="9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>
      <c r="A1" s="1" t="inlineStr">
        <is>
          <t>Step</t>
        </is>
      </c>
      <c r="B1" s="1" t="inlineStr">
        <is>
          <t>What to do</t>
        </is>
      </c>
    </row>
    <row r="2">
      <c r="A2" t="n">
        <v>1</v>
      </c>
      <c r="B2" t="inlineStr">
        <is>
          <t>Upload this file to Google Drive → Open with Google Sheets.</t>
        </is>
      </c>
    </row>
    <row r="3">
      <c r="A3" t="n">
        <v>2</v>
      </c>
      <c r="B3" t="inlineStr">
        <is>
          <t>Every Sunday (10 min): add new rows to Money in, Money out, Rewards, Partners.</t>
        </is>
      </c>
    </row>
    <row r="4">
      <c r="A4" t="n">
        <v>3</v>
      </c>
      <c r="B4" t="inlineStr">
        <is>
          <t>Type only the Date; the Month column fills itself. The Summary tab adds up by month by itself.</t>
        </is>
      </c>
    </row>
    <row r="5">
      <c r="A5" t="n">
        <v>4</v>
      </c>
      <c r="B5" t="inlineStr">
        <is>
          <t>Every payment in Money in needs a UTR. Tick 'Checked in bank' only after you see it in the bank statement.</t>
        </is>
      </c>
    </row>
    <row r="6">
      <c r="A6" t="n">
        <v>5</v>
      </c>
      <c r="B6" t="inlineStr">
        <is>
          <t>Every row in Money out needs a receipt saved in Drive: Hostelzy/Receipts/YYYY-MM/.</t>
        </is>
      </c>
    </row>
    <row r="7">
      <c r="A7" t="n">
        <v>6</v>
      </c>
      <c r="B7" t="inlineStr">
        <is>
          <t>Budget caps are in the Budget tab. Red in the Summary = over the cap.</t>
        </is>
      </c>
    </row>
    <row r="8">
      <c r="A8" t="n">
        <v>7</v>
      </c>
      <c r="B8" t="inlineStr">
        <is>
          <t>Plan and rules: docs/finance/plan.md in the repo.</t>
        </is>
      </c>
    </row>
    <row r="9">
      <c r="A9" t="n">
        <v>8</v>
      </c>
      <c r="B9" t="inlineStr">
        <is>
          <t>Bills tab: every account the app needs, cost and due date. P&amp;L tab: 6-month P&amp;L at 20/50/100 hostels; edit yellow cells.</t>
        </is>
      </c>
    </row>
    <row r="10">
      <c r="A10" t="n">
        <v>9</v>
      </c>
      <c r="B10" t="inlineStr">
        <is>
          <t>Budget v3 (2026-10-04): ₹10,000 a month to Hostelzy. Budget and P&amp;L tabs use the lean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8" customWidth="1" min="4" max="4"/>
    <col width="22" customWidth="1" min="5" max="5"/>
    <col width="18" customWidth="1" min="6" max="6"/>
    <col width="40" customWidth="1" min="7" max="7"/>
  </cols>
  <sheetData>
    <row r="1">
      <c r="A1" s="3" t="inlineStr">
        <is>
          <t>Account</t>
        </is>
      </c>
      <c r="B1" s="3" t="inlineStr">
        <is>
          <t>Plan</t>
        </is>
      </c>
      <c r="C1" s="3" t="inlineStr">
        <is>
          <t>₹ per month</t>
        </is>
      </c>
      <c r="D1" s="3" t="inlineStr">
        <is>
          <t>₹ one time / yearly</t>
        </is>
      </c>
      <c r="E1" s="3" t="inlineStr">
        <is>
          <t>Due</t>
        </is>
      </c>
      <c r="F1" s="3" t="inlineStr">
        <is>
          <t>Status</t>
        </is>
      </c>
      <c r="G1" s="3" t="inlineStr">
        <is>
          <t>Unblocks</t>
        </is>
      </c>
    </row>
    <row r="2">
      <c r="A2" t="inlineStr">
        <is>
          <t>Google Play Console</t>
        </is>
      </c>
      <c r="B2" t="inlineStr">
        <is>
          <t>One time $25</t>
        </is>
      </c>
      <c r="C2" s="4" t="n">
        <v>0</v>
      </c>
      <c r="D2" s="4" t="n">
        <v>2900</v>
      </c>
      <c r="E2" t="inlineStr">
        <is>
          <t>Week of 6 Oct 2026</t>
        </is>
      </c>
      <c r="F2" t="inlineStr">
        <is>
          <t>Not paid</t>
        </is>
      </c>
      <c r="G2" t="inlineStr">
        <is>
          <t>Play upload + 14-day closed test</t>
        </is>
      </c>
    </row>
    <row r="3">
      <c r="A3" t="inlineStr">
        <is>
          <t>Supabase live (Mumbai)</t>
        </is>
      </c>
      <c r="B3" t="inlineStr">
        <is>
          <t>Free → Pro $25/mo</t>
        </is>
      </c>
      <c r="C3" s="4" t="n">
        <v>2900</v>
      </c>
      <c r="D3" s="4" t="n">
        <v>0</v>
      </c>
      <c r="E3" t="inlineStr">
        <is>
          <t>Now (before real owners' data)</t>
        </is>
      </c>
      <c r="F3" t="inlineStr">
        <is>
          <t>Free, running</t>
        </is>
      </c>
      <c r="G3" t="inlineStr">
        <is>
          <t>Backups, no pausing, real owners' data</t>
        </is>
      </c>
    </row>
    <row r="4">
      <c r="A4" t="inlineStr">
        <is>
          <t>Supabase staging</t>
        </is>
      </c>
      <c r="B4" t="inlineStr">
        <is>
          <t>Free</t>
        </is>
      </c>
      <c r="C4" s="4" t="n">
        <v>0</v>
      </c>
      <c r="D4" s="4" t="n">
        <v>0</v>
      </c>
      <c r="E4" t="inlineStr">
        <is>
          <t>When Build needs it</t>
        </is>
      </c>
      <c r="F4" t="inlineStr">
        <is>
          <t>Not made</t>
        </is>
      </c>
      <c r="G4" t="inlineStr">
        <is>
          <t>Test SQL before the live run</t>
        </is>
      </c>
    </row>
    <row r="5">
      <c r="A5" t="inlineStr">
        <is>
          <t>Firebase Spark</t>
        </is>
      </c>
      <c r="B5" t="inlineStr">
        <is>
          <t>Free</t>
        </is>
      </c>
      <c r="C5" s="4" t="n">
        <v>0</v>
      </c>
      <c r="D5" s="4" t="n">
        <v>0</v>
      </c>
      <c r="E5" t="inlineStr">
        <is>
          <t>-</t>
        </is>
      </c>
      <c r="F5" t="inlineStr">
        <is>
          <t>Running</t>
        </is>
      </c>
      <c r="G5" t="inlineStr">
        <is>
          <t>Google sign-in, push, crashes</t>
        </is>
      </c>
    </row>
    <row r="6">
      <c r="A6" t="inlineStr">
        <is>
          <t>Firebase Blaze (SMS OTP)</t>
        </is>
      </c>
      <c r="B6" t="inlineStr">
        <is>
          <t>Pay per SMS, ₹1,000 alert</t>
        </is>
      </c>
      <c r="C6" s="4" t="n">
        <v>0</v>
      </c>
      <c r="D6" s="4" t="n">
        <v>0</v>
      </c>
      <c r="E6" t="inlineStr">
        <is>
          <t>Later, optional</t>
        </is>
      </c>
      <c r="F6" t="inlineStr">
        <is>
          <t>Card failed once</t>
        </is>
      </c>
      <c r="G6" t="inlineStr">
        <is>
          <t>Verified phones</t>
        </is>
      </c>
    </row>
    <row r="7">
      <c r="A7" t="inlineStr">
        <is>
          <t>Google Maps SDK</t>
        </is>
      </c>
      <c r="B7" t="inlineStr">
        <is>
          <t>Pay as you go, ₹500 alert</t>
        </is>
      </c>
      <c r="C7" s="4" t="n">
        <v>0</v>
      </c>
      <c r="D7" s="4" t="n">
        <v>0</v>
      </c>
      <c r="E7" t="inlineStr">
        <is>
          <t>Before Play launch</t>
        </is>
      </c>
      <c r="F7" t="inlineStr">
        <is>
          <t>Not set up</t>
        </is>
      </c>
      <c r="G7" t="inlineStr">
        <is>
          <t>Real map at launch</t>
        </is>
      </c>
    </row>
    <row r="8">
      <c r="A8" t="inlineStr">
        <is>
          <t>MapTiler (fallback only)</t>
        </is>
      </c>
      <c r="B8" t="inlineStr">
        <is>
          <t>Flex ~$25/mo</t>
        </is>
      </c>
      <c r="C8" s="4" t="n">
        <v>0</v>
      </c>
      <c r="D8" s="4" t="n">
        <v>0</v>
      </c>
      <c r="E8" t="inlineStr">
        <is>
          <t>Only if Google fails</t>
        </is>
      </c>
      <c r="F8" t="inlineStr">
        <is>
          <t>-</t>
        </is>
      </c>
      <c r="G8" t="inlineStr">
        <is>
          <t>Map without a Google card</t>
        </is>
      </c>
    </row>
    <row r="9">
      <c r="A9" t="inlineStr">
        <is>
          <t>Domain hostelzy.in</t>
        </is>
      </c>
      <c r="B9" t="inlineStr">
        <is>
          <t>Yearly</t>
        </is>
      </c>
      <c r="C9" s="4" t="n">
        <v>0</v>
      </c>
      <c r="D9" s="4" t="n">
        <v>800</v>
      </c>
      <c r="E9" t="inlineStr">
        <is>
          <t>Oct 2026</t>
        </is>
      </c>
      <c r="F9" t="inlineStr">
        <is>
          <t>Not bought</t>
        </is>
      </c>
      <c r="G9" t="inlineStr">
        <is>
          <t>Own web address</t>
        </is>
      </c>
    </row>
    <row r="10">
      <c r="A10" t="inlineStr">
        <is>
          <t>GitHub Pro</t>
        </is>
      </c>
      <c r="B10" t="inlineStr">
        <is>
          <t>Later: $4/mo only if repo goes private</t>
        </is>
      </c>
      <c r="C10" s="4" t="n">
        <v>0</v>
      </c>
      <c r="D10" s="4" t="n">
        <v>0</v>
      </c>
      <c r="E10" t="inlineStr">
        <is>
          <t>When repo goes private</t>
        </is>
      </c>
      <c r="F10" t="inlineStr">
        <is>
          <t>Free</t>
        </is>
      </c>
      <c r="G10" t="inlineStr">
        <is>
          <t>Pages + build minutes on private repo</t>
        </is>
      </c>
    </row>
    <row r="11">
      <c r="A11" t="inlineStr">
        <is>
          <t>Claude / AI tokens</t>
        </is>
      </c>
      <c r="B11" t="inlineStr">
        <is>
          <t>Free for the founder</t>
        </is>
      </c>
      <c r="C11" s="4" t="n">
        <v>0</v>
      </c>
      <c r="D11" s="4" t="n">
        <v>0</v>
      </c>
      <c r="E11" t="inlineStr">
        <is>
          <t>Monthly</t>
        </is>
      </c>
      <c r="F11" t="inlineStr">
        <is>
          <t>Running</t>
        </is>
      </c>
      <c r="G11" t="inlineStr">
        <is>
          <t>Building the app</t>
        </is>
      </c>
    </row>
    <row r="12">
      <c r="A12" t="inlineStr">
        <is>
          <t>WhatsApp Business app</t>
        </is>
      </c>
      <c r="B12" t="inlineStr">
        <is>
          <t>Free</t>
        </is>
      </c>
      <c r="C12" s="4" t="n">
        <v>0</v>
      </c>
      <c r="D12" s="4" t="n">
        <v>0</v>
      </c>
      <c r="E12" t="inlineStr">
        <is>
          <t>-</t>
        </is>
      </c>
      <c r="F12" t="inlineStr">
        <is>
          <t>-</t>
        </is>
      </c>
      <c r="G12" t="inlineStr">
        <is>
          <t>Owner chats</t>
        </is>
      </c>
    </row>
    <row r="13">
      <c r="A13" s="2" t="inlineStr">
        <is>
          <t>Total</t>
        </is>
      </c>
      <c r="B13" s="2" t="inlineStr"/>
      <c r="C13" s="5">
        <f>SUM(C2:C12)</f>
        <v/>
      </c>
      <c r="D13" s="5">
        <f>SUM(D2:D12)</f>
        <v/>
      </c>
      <c r="E13" s="2" t="inlineStr"/>
      <c r="F13" s="2" t="inlineStr"/>
      <c r="G1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2" t="inlineStr">
        <is>
          <t>Assumptions (edit the yellow cells) · Budget v3 lean plan, 2026-10-04</t>
        </is>
      </c>
    </row>
    <row r="2">
      <c r="A2" t="inlineStr">
        <is>
          <t>Average price per paying hostel (₹)</t>
        </is>
      </c>
      <c r="B2" s="6" t="n">
        <v>750</v>
      </c>
    </row>
    <row r="3">
      <c r="A3" t="inlineStr">
        <is>
          <t>Trial converts to paid</t>
        </is>
      </c>
      <c r="B3" s="7" t="n">
        <v>0.7</v>
      </c>
    </row>
    <row r="4">
      <c r="A4" t="inlineStr">
        <is>
          <t>Commission per new paying owner (₹)</t>
        </is>
      </c>
      <c r="B4" s="6" t="n">
        <v>200</v>
      </c>
    </row>
    <row r="5">
      <c r="A5" t="inlineStr">
        <is>
          <t>Print per new hostel (₹)</t>
        </is>
      </c>
      <c r="B5" s="6" t="n">
        <v>150</v>
      </c>
    </row>
    <row r="6">
      <c r="A6" t="inlineStr">
        <is>
          <t>Rewards per paying hostel (₹, from month 3)</t>
        </is>
      </c>
      <c r="B6" s="6" t="n">
        <v>80</v>
      </c>
    </row>
    <row r="7">
      <c r="A7" t="inlineStr">
        <is>
          <t>Rewards cap (₹)</t>
        </is>
      </c>
      <c r="B7" s="6" t="n">
        <v>1000</v>
      </c>
    </row>
    <row r="8">
      <c r="A8" t="inlineStr">
        <is>
          <t>AI tokens (₹/month)</t>
        </is>
      </c>
      <c r="B8" s="6" t="n">
        <v>0</v>
      </c>
    </row>
    <row r="9">
      <c r="A9" t="inlineStr">
        <is>
          <t>Tech month 1 (₹, Play once + Supabase Pro)</t>
        </is>
      </c>
      <c r="B9" s="6" t="n">
        <v>5300</v>
      </c>
    </row>
    <row r="10">
      <c r="A10" t="inlineStr">
        <is>
          <t>Supabase Pro per month (₹)</t>
        </is>
      </c>
      <c r="B10" s="6" t="n">
        <v>2900</v>
      </c>
    </row>
    <row r="11"/>
    <row r="12">
      <c r="A12" s="2" t="inlineStr">
        <is>
          <t>Scenario: 20 hostels by March</t>
        </is>
      </c>
      <c r="H12" t="inlineStr">
        <is>
          <t>SMS ₹/mo</t>
        </is>
      </c>
      <c r="I12" s="6" t="n">
        <v>0</v>
      </c>
      <c r="J12" t="inlineStr">
        <is>
          <t>Hold pay ₹/mo</t>
        </is>
      </c>
      <c r="K12" s="6" t="n">
        <v>1000</v>
      </c>
      <c r="L12" t="inlineStr">
        <is>
          <t>Ads ₹/mo</t>
        </is>
      </c>
      <c r="M12" s="6" t="n">
        <v>0</v>
      </c>
    </row>
    <row r="13">
      <c r="A13" s="2" t="inlineStr">
        <is>
          <t>Line</t>
        </is>
      </c>
      <c r="B13" s="3" t="inlineStr">
        <is>
          <t>Oct 2026</t>
        </is>
      </c>
      <c r="C13" s="3" t="inlineStr">
        <is>
          <t>Nov 2026</t>
        </is>
      </c>
      <c r="D13" s="3" t="inlineStr">
        <is>
          <t>Dec 2026</t>
        </is>
      </c>
      <c r="E13" s="3" t="inlineStr">
        <is>
          <t>Jan 2027</t>
        </is>
      </c>
      <c r="F13" s="3" t="inlineStr">
        <is>
          <t>Feb 2027</t>
        </is>
      </c>
      <c r="G13" s="3" t="inlineStr">
        <is>
          <t>Mar 2027</t>
        </is>
      </c>
    </row>
    <row r="14">
      <c r="A14" t="inlineStr">
        <is>
          <t>Hostels live</t>
        </is>
      </c>
      <c r="B14" s="6" t="n">
        <v>15</v>
      </c>
      <c r="C14" s="6" t="n">
        <v>20</v>
      </c>
      <c r="D14" s="6" t="n">
        <v>20</v>
      </c>
      <c r="E14" s="6" t="n">
        <v>20</v>
      </c>
      <c r="F14" s="6" t="n">
        <v>20</v>
      </c>
      <c r="G14" s="6" t="n">
        <v>20</v>
      </c>
    </row>
    <row r="15">
      <c r="A15" t="inlineStr">
        <is>
          <t>Paying hostels</t>
        </is>
      </c>
      <c r="B15" t="n">
        <v>0</v>
      </c>
      <c r="C15">
        <f>ROUND($B$3*B14,0)</f>
        <v/>
      </c>
      <c r="D15">
        <f>ROUND($B$3*C14,0)</f>
        <v/>
      </c>
      <c r="E15">
        <f>ROUND($B$3*D14,0)</f>
        <v/>
      </c>
      <c r="F15">
        <f>ROUND($B$3*E14,0)</f>
        <v/>
      </c>
      <c r="G15">
        <f>ROUND($B$3*F14,0)</f>
        <v/>
      </c>
    </row>
    <row r="16">
      <c r="A16" s="2" t="inlineStr">
        <is>
          <t>Revenue</t>
        </is>
      </c>
      <c r="B16" s="8">
        <f>$B$2*B15</f>
        <v/>
      </c>
      <c r="C16" s="8">
        <f>$B$2*C15</f>
        <v/>
      </c>
      <c r="D16" s="8">
        <f>$B$2*D15</f>
        <v/>
      </c>
      <c r="E16" s="8">
        <f>$B$2*E15</f>
        <v/>
      </c>
      <c r="F16" s="8">
        <f>$B$2*F15</f>
        <v/>
      </c>
      <c r="G16" s="8">
        <f>$B$2*G15</f>
        <v/>
      </c>
    </row>
    <row r="17">
      <c r="A17" t="inlineStr">
        <is>
          <t>Tech</t>
        </is>
      </c>
      <c r="B17" s="8">
        <f>$B$9</f>
        <v/>
      </c>
      <c r="C17" s="8">
        <f>$B$10+$I$12</f>
        <v/>
      </c>
      <c r="D17" s="8">
        <f>$B$10+$I$12</f>
        <v/>
      </c>
      <c r="E17" s="8">
        <f>$B$10+$I$12</f>
        <v/>
      </c>
      <c r="F17" s="8">
        <f>$B$10+$I$12</f>
        <v/>
      </c>
      <c r="G17" s="8">
        <f>$B$10+$I$12</f>
        <v/>
      </c>
    </row>
    <row r="18">
      <c r="A18" t="inlineStr">
        <is>
          <t>AI tokens</t>
        </is>
      </c>
      <c r="B18" s="8">
        <f>$B$8</f>
        <v/>
      </c>
      <c r="C18" s="8">
        <f>$B$8</f>
        <v/>
      </c>
      <c r="D18" s="8">
        <f>$B$8</f>
        <v/>
      </c>
      <c r="E18" s="8">
        <f>$B$8</f>
        <v/>
      </c>
      <c r="F18" s="8">
        <f>$B$8</f>
        <v/>
      </c>
      <c r="G18" s="8">
        <f>$B$8</f>
        <v/>
      </c>
    </row>
    <row r="19">
      <c r="A19" t="inlineStr">
        <is>
          <t>Commission</t>
        </is>
      </c>
      <c r="B19" s="8">
        <f>0</f>
        <v/>
      </c>
      <c r="C19" s="8">
        <f>$B$4*MAX(0,C15-B15)+$K$12</f>
        <v/>
      </c>
      <c r="D19" s="8">
        <f>$B$4*MAX(0,D15-C15)+$K$12</f>
        <v/>
      </c>
      <c r="E19" s="8">
        <f>$B$4*MAX(0,E15-D15)+$K$12</f>
        <v/>
      </c>
      <c r="F19" s="8">
        <f>$B$4*MAX(0,F15-E15)+$K$12</f>
        <v/>
      </c>
      <c r="G19" s="8">
        <f>$B$4*MAX(0,G15-F15)+$K$12</f>
        <v/>
      </c>
    </row>
    <row r="20">
      <c r="A20" t="inlineStr">
        <is>
          <t>Print</t>
        </is>
      </c>
      <c r="B20" s="8">
        <f>$B$5*B14</f>
        <v/>
      </c>
      <c r="C20" s="8">
        <f>$B$5*MAX(0,C14-B14)</f>
        <v/>
      </c>
      <c r="D20" s="8">
        <f>$B$5*MAX(0,D14-C14)</f>
        <v/>
      </c>
      <c r="E20" s="8">
        <f>$B$5*MAX(0,E14-D14)</f>
        <v/>
      </c>
      <c r="F20" s="8">
        <f>$B$5*MAX(0,F14-E14)</f>
        <v/>
      </c>
      <c r="G20" s="8">
        <f>$B$5*MAX(0,G14-F14)</f>
        <v/>
      </c>
    </row>
    <row r="21">
      <c r="A21" t="inlineStr">
        <is>
          <t>Travel</t>
        </is>
      </c>
      <c r="B21" s="8">
        <f>2000</f>
        <v/>
      </c>
      <c r="C21" s="8">
        <f>IF(C14&gt;B14,2000,1000)</f>
        <v/>
      </c>
      <c r="D21" s="8">
        <f>IF(D14&gt;C14,2000,1000)</f>
        <v/>
      </c>
      <c r="E21" s="8">
        <f>IF(E14&gt;D14,2000,1000)</f>
        <v/>
      </c>
      <c r="F21" s="8">
        <f>IF(F14&gt;E14,2000,1000)</f>
        <v/>
      </c>
      <c r="G21" s="8">
        <f>IF(G14&gt;F14,2000,1000)</f>
        <v/>
      </c>
    </row>
    <row r="22">
      <c r="A22" t="inlineStr">
        <is>
          <t>Ads</t>
        </is>
      </c>
      <c r="B22" s="8">
        <f>0</f>
        <v/>
      </c>
      <c r="C22" s="8">
        <f>$M$12</f>
        <v/>
      </c>
      <c r="D22" s="8">
        <f>$M$12</f>
        <v/>
      </c>
      <c r="E22" s="8">
        <f>$M$12</f>
        <v/>
      </c>
      <c r="F22" s="8">
        <f>$M$12</f>
        <v/>
      </c>
      <c r="G22" s="8">
        <f>$M$12</f>
        <v/>
      </c>
    </row>
    <row r="23">
      <c r="A23" t="inlineStr">
        <is>
          <t>Rewards</t>
        </is>
      </c>
      <c r="B23" s="8">
        <f>0</f>
        <v/>
      </c>
      <c r="C23" s="8">
        <f>0</f>
        <v/>
      </c>
      <c r="D23" s="8">
        <f>MIN($B$7,$B$6*D15)</f>
        <v/>
      </c>
      <c r="E23" s="8">
        <f>MIN($B$7,$B$6*E15)</f>
        <v/>
      </c>
      <c r="F23" s="8">
        <f>MIN($B$7,$B$6*F15)</f>
        <v/>
      </c>
      <c r="G23" s="8">
        <f>MIN($B$7,$B$6*G15)</f>
        <v/>
      </c>
    </row>
    <row r="24">
      <c r="A24" s="2" t="inlineStr">
        <is>
          <t>Costs</t>
        </is>
      </c>
      <c r="B24" s="8">
        <f>SUM(B17:B23)</f>
        <v/>
      </c>
      <c r="C24" s="8">
        <f>SUM(C17:C23)</f>
        <v/>
      </c>
      <c r="D24" s="8">
        <f>SUM(D17:D23)</f>
        <v/>
      </c>
      <c r="E24" s="8">
        <f>SUM(E17:E23)</f>
        <v/>
      </c>
      <c r="F24" s="8">
        <f>SUM(F17:F23)</f>
        <v/>
      </c>
      <c r="G24" s="8">
        <f>SUM(G17:G23)</f>
        <v/>
      </c>
    </row>
    <row r="25">
      <c r="A25" s="2" t="inlineStr">
        <is>
          <t>Profit / loss</t>
        </is>
      </c>
      <c r="B25" s="8">
        <f>B16-B24</f>
        <v/>
      </c>
      <c r="C25" s="8">
        <f>C16-C24</f>
        <v/>
      </c>
      <c r="D25" s="8">
        <f>D16-D24</f>
        <v/>
      </c>
      <c r="E25" s="8">
        <f>E16-E24</f>
        <v/>
      </c>
      <c r="F25" s="8">
        <f>F16-F24</f>
        <v/>
      </c>
      <c r="G25" s="8">
        <f>G16-G24</f>
        <v/>
      </c>
    </row>
    <row r="26">
      <c r="A26" t="inlineStr">
        <is>
          <t>P/L without AI tokens</t>
        </is>
      </c>
      <c r="B26" s="8">
        <f>B25+B18</f>
        <v/>
      </c>
      <c r="C26" s="8">
        <f>C25+C18</f>
        <v/>
      </c>
      <c r="D26" s="8">
        <f>D25+D18</f>
        <v/>
      </c>
      <c r="E26" s="8">
        <f>E25+E18</f>
        <v/>
      </c>
      <c r="F26" s="8">
        <f>F25+F18</f>
        <v/>
      </c>
      <c r="G26" s="8">
        <f>G25+G18</f>
        <v/>
      </c>
    </row>
    <row r="27">
      <c r="A27" t="inlineStr">
        <is>
          <t>Cumulative P/L</t>
        </is>
      </c>
      <c r="B27" s="8">
        <f>B25</f>
        <v/>
      </c>
      <c r="C27" s="8">
        <f>B27+C25</f>
        <v/>
      </c>
      <c r="D27" s="8">
        <f>C27+D25</f>
        <v/>
      </c>
      <c r="E27" s="8">
        <f>D27+E25</f>
        <v/>
      </c>
      <c r="F27" s="8">
        <f>E27+F25</f>
        <v/>
      </c>
      <c r="G27" s="8">
        <f>F27+G25</f>
        <v/>
      </c>
    </row>
    <row r="28">
      <c r="A28" s="2" t="inlineStr">
        <is>
          <t>Break-even month</t>
        </is>
      </c>
      <c r="B28">
        <f>IFERROR(INDEX($B$13:$G$13,MATCH(TRUE,INDEX($B$25:$G$25&gt;=0,0),0)),"Not in 6 months")</f>
        <v/>
      </c>
    </row>
    <row r="29"/>
    <row r="30">
      <c r="A30" s="2" t="inlineStr">
        <is>
          <t>Scenario: 50 hostels by March</t>
        </is>
      </c>
      <c r="H30" t="inlineStr">
        <is>
          <t>SMS ₹/mo</t>
        </is>
      </c>
      <c r="I30" s="6" t="n">
        <v>0</v>
      </c>
      <c r="J30" t="inlineStr">
        <is>
          <t>Hold pay ₹/mo</t>
        </is>
      </c>
      <c r="K30" s="6" t="n">
        <v>1000</v>
      </c>
      <c r="L30" t="inlineStr">
        <is>
          <t>Ads ₹/mo</t>
        </is>
      </c>
      <c r="M30" s="6" t="n">
        <v>0</v>
      </c>
    </row>
    <row r="31">
      <c r="A31" s="2" t="inlineStr">
        <is>
          <t>Line</t>
        </is>
      </c>
      <c r="B31" s="3" t="inlineStr">
        <is>
          <t>Oct 2026</t>
        </is>
      </c>
      <c r="C31" s="3" t="inlineStr">
        <is>
          <t>Nov 2026</t>
        </is>
      </c>
      <c r="D31" s="3" t="inlineStr">
        <is>
          <t>Dec 2026</t>
        </is>
      </c>
      <c r="E31" s="3" t="inlineStr">
        <is>
          <t>Jan 2027</t>
        </is>
      </c>
      <c r="F31" s="3" t="inlineStr">
        <is>
          <t>Feb 2027</t>
        </is>
      </c>
      <c r="G31" s="3" t="inlineStr">
        <is>
          <t>Mar 2027</t>
        </is>
      </c>
    </row>
    <row r="32">
      <c r="A32" t="inlineStr">
        <is>
          <t>Hostels live</t>
        </is>
      </c>
      <c r="B32" s="6" t="n">
        <v>20</v>
      </c>
      <c r="C32" s="6" t="n">
        <v>30</v>
      </c>
      <c r="D32" s="6" t="n">
        <v>40</v>
      </c>
      <c r="E32" s="6" t="n">
        <v>50</v>
      </c>
      <c r="F32" s="6" t="n">
        <v>50</v>
      </c>
      <c r="G32" s="6" t="n">
        <v>50</v>
      </c>
    </row>
    <row r="33">
      <c r="A33" t="inlineStr">
        <is>
          <t>Paying hostels</t>
        </is>
      </c>
      <c r="B33" t="n">
        <v>0</v>
      </c>
      <c r="C33">
        <f>ROUND($B$3*B32,0)</f>
        <v/>
      </c>
      <c r="D33">
        <f>ROUND($B$3*C32,0)</f>
        <v/>
      </c>
      <c r="E33">
        <f>ROUND($B$3*D32,0)</f>
        <v/>
      </c>
      <c r="F33">
        <f>ROUND($B$3*E32,0)</f>
        <v/>
      </c>
      <c r="G33">
        <f>ROUND($B$3*F32,0)</f>
        <v/>
      </c>
    </row>
    <row r="34">
      <c r="A34" s="2" t="inlineStr">
        <is>
          <t>Revenue</t>
        </is>
      </c>
      <c r="B34" s="8">
        <f>$B$2*B33</f>
        <v/>
      </c>
      <c r="C34" s="8">
        <f>$B$2*C33</f>
        <v/>
      </c>
      <c r="D34" s="8">
        <f>$B$2*D33</f>
        <v/>
      </c>
      <c r="E34" s="8">
        <f>$B$2*E33</f>
        <v/>
      </c>
      <c r="F34" s="8">
        <f>$B$2*F33</f>
        <v/>
      </c>
      <c r="G34" s="8">
        <f>$B$2*G33</f>
        <v/>
      </c>
    </row>
    <row r="35">
      <c r="A35" t="inlineStr">
        <is>
          <t>Tech</t>
        </is>
      </c>
      <c r="B35" s="8">
        <f>$B$9</f>
        <v/>
      </c>
      <c r="C35" s="8">
        <f>$B$10+$I$30</f>
        <v/>
      </c>
      <c r="D35" s="8">
        <f>$B$10+$I$30</f>
        <v/>
      </c>
      <c r="E35" s="8">
        <f>$B$10+$I$30</f>
        <v/>
      </c>
      <c r="F35" s="8">
        <f>$B$10+$I$30</f>
        <v/>
      </c>
      <c r="G35" s="8">
        <f>$B$10+$I$30</f>
        <v/>
      </c>
    </row>
    <row r="36">
      <c r="A36" t="inlineStr">
        <is>
          <t>AI tokens</t>
        </is>
      </c>
      <c r="B36" s="8">
        <f>$B$8</f>
        <v/>
      </c>
      <c r="C36" s="8">
        <f>$B$8</f>
        <v/>
      </c>
      <c r="D36" s="8">
        <f>$B$8</f>
        <v/>
      </c>
      <c r="E36" s="8">
        <f>$B$8</f>
        <v/>
      </c>
      <c r="F36" s="8">
        <f>$B$8</f>
        <v/>
      </c>
      <c r="G36" s="8">
        <f>$B$8</f>
        <v/>
      </c>
    </row>
    <row r="37">
      <c r="A37" t="inlineStr">
        <is>
          <t>Commission</t>
        </is>
      </c>
      <c r="B37" s="8">
        <f>0</f>
        <v/>
      </c>
      <c r="C37" s="8">
        <f>$B$4*MAX(0,C33-B33)+$K$30</f>
        <v/>
      </c>
      <c r="D37" s="8">
        <f>$B$4*MAX(0,D33-C33)+$K$30</f>
        <v/>
      </c>
      <c r="E37" s="8">
        <f>$B$4*MAX(0,E33-D33)+$K$30</f>
        <v/>
      </c>
      <c r="F37" s="8">
        <f>$B$4*MAX(0,F33-E33)+$K$30</f>
        <v/>
      </c>
      <c r="G37" s="8">
        <f>$B$4*MAX(0,G33-F33)+$K$30</f>
        <v/>
      </c>
    </row>
    <row r="38">
      <c r="A38" t="inlineStr">
        <is>
          <t>Print</t>
        </is>
      </c>
      <c r="B38" s="8">
        <f>$B$5*B32</f>
        <v/>
      </c>
      <c r="C38" s="8">
        <f>$B$5*MAX(0,C32-B32)</f>
        <v/>
      </c>
      <c r="D38" s="8">
        <f>$B$5*MAX(0,D32-C32)</f>
        <v/>
      </c>
      <c r="E38" s="8">
        <f>$B$5*MAX(0,E32-D32)</f>
        <v/>
      </c>
      <c r="F38" s="8">
        <f>$B$5*MAX(0,F32-E32)</f>
        <v/>
      </c>
      <c r="G38" s="8">
        <f>$B$5*MAX(0,G32-F32)</f>
        <v/>
      </c>
    </row>
    <row r="39">
      <c r="A39" t="inlineStr">
        <is>
          <t>Travel</t>
        </is>
      </c>
      <c r="B39" s="8">
        <f>2000</f>
        <v/>
      </c>
      <c r="C39" s="8">
        <f>IF(C32&gt;B32,2000,1000)</f>
        <v/>
      </c>
      <c r="D39" s="8">
        <f>IF(D32&gt;C32,2000,1000)</f>
        <v/>
      </c>
      <c r="E39" s="8">
        <f>IF(E32&gt;D32,2000,1000)</f>
        <v/>
      </c>
      <c r="F39" s="8">
        <f>IF(F32&gt;E32,2000,1000)</f>
        <v/>
      </c>
      <c r="G39" s="8">
        <f>IF(G32&gt;F32,2000,1000)</f>
        <v/>
      </c>
    </row>
    <row r="40">
      <c r="A40" t="inlineStr">
        <is>
          <t>Ads</t>
        </is>
      </c>
      <c r="B40" s="8">
        <f>0</f>
        <v/>
      </c>
      <c r="C40" s="8">
        <f>$M$30</f>
        <v/>
      </c>
      <c r="D40" s="8">
        <f>$M$30</f>
        <v/>
      </c>
      <c r="E40" s="8">
        <f>$M$30</f>
        <v/>
      </c>
      <c r="F40" s="8">
        <f>$M$30</f>
        <v/>
      </c>
      <c r="G40" s="8">
        <f>$M$30</f>
        <v/>
      </c>
    </row>
    <row r="41">
      <c r="A41" t="inlineStr">
        <is>
          <t>Rewards</t>
        </is>
      </c>
      <c r="B41" s="8">
        <f>0</f>
        <v/>
      </c>
      <c r="C41" s="8">
        <f>0</f>
        <v/>
      </c>
      <c r="D41" s="8">
        <f>MIN($B$7,$B$6*D33)</f>
        <v/>
      </c>
      <c r="E41" s="8">
        <f>MIN($B$7,$B$6*E33)</f>
        <v/>
      </c>
      <c r="F41" s="8">
        <f>MIN($B$7,$B$6*F33)</f>
        <v/>
      </c>
      <c r="G41" s="8">
        <f>MIN($B$7,$B$6*G33)</f>
        <v/>
      </c>
    </row>
    <row r="42">
      <c r="A42" s="2" t="inlineStr">
        <is>
          <t>Costs</t>
        </is>
      </c>
      <c r="B42" s="8">
        <f>SUM(B35:B41)</f>
        <v/>
      </c>
      <c r="C42" s="8">
        <f>SUM(C35:C41)</f>
        <v/>
      </c>
      <c r="D42" s="8">
        <f>SUM(D35:D41)</f>
        <v/>
      </c>
      <c r="E42" s="8">
        <f>SUM(E35:E41)</f>
        <v/>
      </c>
      <c r="F42" s="8">
        <f>SUM(F35:F41)</f>
        <v/>
      </c>
      <c r="G42" s="8">
        <f>SUM(G35:G41)</f>
        <v/>
      </c>
    </row>
    <row r="43">
      <c r="A43" s="2" t="inlineStr">
        <is>
          <t>Profit / loss</t>
        </is>
      </c>
      <c r="B43" s="8">
        <f>B34-B42</f>
        <v/>
      </c>
      <c r="C43" s="8">
        <f>C34-C42</f>
        <v/>
      </c>
      <c r="D43" s="8">
        <f>D34-D42</f>
        <v/>
      </c>
      <c r="E43" s="8">
        <f>E34-E42</f>
        <v/>
      </c>
      <c r="F43" s="8">
        <f>F34-F42</f>
        <v/>
      </c>
      <c r="G43" s="8">
        <f>G34-G42</f>
        <v/>
      </c>
    </row>
    <row r="44">
      <c r="A44" t="inlineStr">
        <is>
          <t>P/L without AI tokens</t>
        </is>
      </c>
      <c r="B44" s="8">
        <f>B43+B36</f>
        <v/>
      </c>
      <c r="C44" s="8">
        <f>C43+C36</f>
        <v/>
      </c>
      <c r="D44" s="8">
        <f>D43+D36</f>
        <v/>
      </c>
      <c r="E44" s="8">
        <f>E43+E36</f>
        <v/>
      </c>
      <c r="F44" s="8">
        <f>F43+F36</f>
        <v/>
      </c>
      <c r="G44" s="8">
        <f>G43+G36</f>
        <v/>
      </c>
    </row>
    <row r="45">
      <c r="A45" t="inlineStr">
        <is>
          <t>Cumulative P/L</t>
        </is>
      </c>
      <c r="B45" s="8">
        <f>B43</f>
        <v/>
      </c>
      <c r="C45" s="8">
        <f>B45+C43</f>
        <v/>
      </c>
      <c r="D45" s="8">
        <f>C45+D43</f>
        <v/>
      </c>
      <c r="E45" s="8">
        <f>D45+E43</f>
        <v/>
      </c>
      <c r="F45" s="8">
        <f>E45+F43</f>
        <v/>
      </c>
      <c r="G45" s="8">
        <f>F45+G43</f>
        <v/>
      </c>
    </row>
    <row r="46">
      <c r="A46" s="2" t="inlineStr">
        <is>
          <t>Break-even month</t>
        </is>
      </c>
      <c r="B46">
        <f>IFERROR(INDEX($B$31:$G$31,MATCH(TRUE,INDEX($B$43:$G$43&gt;=0,0),0)),"Not in 6 months")</f>
        <v/>
      </c>
    </row>
    <row r="47"/>
    <row r="48">
      <c r="A48" s="2" t="inlineStr">
        <is>
          <t>Scenario: 100 hostels by March</t>
        </is>
      </c>
      <c r="H48" t="inlineStr">
        <is>
          <t>SMS ₹/mo</t>
        </is>
      </c>
      <c r="I48" s="6" t="n">
        <v>0</v>
      </c>
      <c r="J48" t="inlineStr">
        <is>
          <t>Hold pay ₹/mo</t>
        </is>
      </c>
      <c r="K48" s="6" t="n">
        <v>1000</v>
      </c>
      <c r="L48" t="inlineStr">
        <is>
          <t>Ads ₹/mo</t>
        </is>
      </c>
      <c r="M48" s="6" t="n">
        <v>0</v>
      </c>
    </row>
    <row r="49">
      <c r="A49" s="2" t="inlineStr">
        <is>
          <t>Line</t>
        </is>
      </c>
      <c r="B49" s="3" t="inlineStr">
        <is>
          <t>Oct 2026</t>
        </is>
      </c>
      <c r="C49" s="3" t="inlineStr">
        <is>
          <t>Nov 2026</t>
        </is>
      </c>
      <c r="D49" s="3" t="inlineStr">
        <is>
          <t>Dec 2026</t>
        </is>
      </c>
      <c r="E49" s="3" t="inlineStr">
        <is>
          <t>Jan 2027</t>
        </is>
      </c>
      <c r="F49" s="3" t="inlineStr">
        <is>
          <t>Feb 2027</t>
        </is>
      </c>
      <c r="G49" s="3" t="inlineStr">
        <is>
          <t>Mar 2027</t>
        </is>
      </c>
    </row>
    <row r="50">
      <c r="A50" t="inlineStr">
        <is>
          <t>Hostels live</t>
        </is>
      </c>
      <c r="B50" s="6" t="n">
        <v>20</v>
      </c>
      <c r="C50" s="6" t="n">
        <v>35</v>
      </c>
      <c r="D50" s="6" t="n">
        <v>50</v>
      </c>
      <c r="E50" s="6" t="n">
        <v>70</v>
      </c>
      <c r="F50" s="6" t="n">
        <v>85</v>
      </c>
      <c r="G50" s="6" t="n">
        <v>100</v>
      </c>
    </row>
    <row r="51">
      <c r="A51" t="inlineStr">
        <is>
          <t>Paying hostels</t>
        </is>
      </c>
      <c r="B51" t="n">
        <v>0</v>
      </c>
      <c r="C51">
        <f>ROUND($B$3*B50,0)</f>
        <v/>
      </c>
      <c r="D51">
        <f>ROUND($B$3*C50,0)</f>
        <v/>
      </c>
      <c r="E51">
        <f>ROUND($B$3*D50,0)</f>
        <v/>
      </c>
      <c r="F51">
        <f>ROUND($B$3*E50,0)</f>
        <v/>
      </c>
      <c r="G51">
        <f>ROUND($B$3*F50,0)</f>
        <v/>
      </c>
    </row>
    <row r="52">
      <c r="A52" s="2" t="inlineStr">
        <is>
          <t>Revenue</t>
        </is>
      </c>
      <c r="B52" s="8">
        <f>$B$2*B51</f>
        <v/>
      </c>
      <c r="C52" s="8">
        <f>$B$2*C51</f>
        <v/>
      </c>
      <c r="D52" s="8">
        <f>$B$2*D51</f>
        <v/>
      </c>
      <c r="E52" s="8">
        <f>$B$2*E51</f>
        <v/>
      </c>
      <c r="F52" s="8">
        <f>$B$2*F51</f>
        <v/>
      </c>
      <c r="G52" s="8">
        <f>$B$2*G51</f>
        <v/>
      </c>
    </row>
    <row r="53">
      <c r="A53" t="inlineStr">
        <is>
          <t>Tech</t>
        </is>
      </c>
      <c r="B53" s="8">
        <f>$B$9</f>
        <v/>
      </c>
      <c r="C53" s="8">
        <f>$B$10+$I$48</f>
        <v/>
      </c>
      <c r="D53" s="8">
        <f>$B$10+$I$48</f>
        <v/>
      </c>
      <c r="E53" s="8">
        <f>$B$10+$I$48</f>
        <v/>
      </c>
      <c r="F53" s="8">
        <f>$B$10+$I$48</f>
        <v/>
      </c>
      <c r="G53" s="8">
        <f>$B$10+$I$48</f>
        <v/>
      </c>
    </row>
    <row r="54">
      <c r="A54" t="inlineStr">
        <is>
          <t>AI tokens</t>
        </is>
      </c>
      <c r="B54" s="8">
        <f>$B$8</f>
        <v/>
      </c>
      <c r="C54" s="8">
        <f>$B$8</f>
        <v/>
      </c>
      <c r="D54" s="8">
        <f>$B$8</f>
        <v/>
      </c>
      <c r="E54" s="8">
        <f>$B$8</f>
        <v/>
      </c>
      <c r="F54" s="8">
        <f>$B$8</f>
        <v/>
      </c>
      <c r="G54" s="8">
        <f>$B$8</f>
        <v/>
      </c>
    </row>
    <row r="55">
      <c r="A55" t="inlineStr">
        <is>
          <t>Commission</t>
        </is>
      </c>
      <c r="B55" s="8">
        <f>0</f>
        <v/>
      </c>
      <c r="C55" s="8">
        <f>$B$4*MAX(0,C51-B51)+$K$48</f>
        <v/>
      </c>
      <c r="D55" s="8">
        <f>$B$4*MAX(0,D51-C51)+$K$48</f>
        <v/>
      </c>
      <c r="E55" s="8">
        <f>$B$4*MAX(0,E51-D51)+$K$48</f>
        <v/>
      </c>
      <c r="F55" s="8">
        <f>$B$4*MAX(0,F51-E51)+$K$48</f>
        <v/>
      </c>
      <c r="G55" s="8">
        <f>$B$4*MAX(0,G51-F51)+$K$48</f>
        <v/>
      </c>
    </row>
    <row r="56">
      <c r="A56" t="inlineStr">
        <is>
          <t>Print</t>
        </is>
      </c>
      <c r="B56" s="8">
        <f>$B$5*B50</f>
        <v/>
      </c>
      <c r="C56" s="8">
        <f>$B$5*MAX(0,C50-B50)</f>
        <v/>
      </c>
      <c r="D56" s="8">
        <f>$B$5*MAX(0,D50-C50)</f>
        <v/>
      </c>
      <c r="E56" s="8">
        <f>$B$5*MAX(0,E50-D50)</f>
        <v/>
      </c>
      <c r="F56" s="8">
        <f>$B$5*MAX(0,F50-E50)</f>
        <v/>
      </c>
      <c r="G56" s="8">
        <f>$B$5*MAX(0,G50-F50)</f>
        <v/>
      </c>
    </row>
    <row r="57">
      <c r="A57" t="inlineStr">
        <is>
          <t>Travel</t>
        </is>
      </c>
      <c r="B57" s="8">
        <f>2000</f>
        <v/>
      </c>
      <c r="C57" s="8">
        <f>IF(C50&gt;B50,2000,1000)</f>
        <v/>
      </c>
      <c r="D57" s="8">
        <f>IF(D50&gt;C50,2000,1000)</f>
        <v/>
      </c>
      <c r="E57" s="8">
        <f>IF(E50&gt;D50,2000,1000)</f>
        <v/>
      </c>
      <c r="F57" s="8">
        <f>IF(F50&gt;E50,2000,1000)</f>
        <v/>
      </c>
      <c r="G57" s="8">
        <f>IF(G50&gt;F50,2000,1000)</f>
        <v/>
      </c>
    </row>
    <row r="58">
      <c r="A58" t="inlineStr">
        <is>
          <t>Ads</t>
        </is>
      </c>
      <c r="B58" s="8">
        <f>0</f>
        <v/>
      </c>
      <c r="C58" s="8">
        <f>$M$48</f>
        <v/>
      </c>
      <c r="D58" s="8">
        <f>$M$48</f>
        <v/>
      </c>
      <c r="E58" s="8">
        <f>$M$48</f>
        <v/>
      </c>
      <c r="F58" s="8">
        <f>$M$48</f>
        <v/>
      </c>
      <c r="G58" s="8">
        <f>$M$48</f>
        <v/>
      </c>
    </row>
    <row r="59">
      <c r="A59" t="inlineStr">
        <is>
          <t>Rewards</t>
        </is>
      </c>
      <c r="B59" s="8">
        <f>0</f>
        <v/>
      </c>
      <c r="C59" s="8">
        <f>0</f>
        <v/>
      </c>
      <c r="D59" s="8">
        <f>MIN($B$7,$B$6*D51)</f>
        <v/>
      </c>
      <c r="E59" s="8">
        <f>MIN($B$7,$B$6*E51)</f>
        <v/>
      </c>
      <c r="F59" s="8">
        <f>MIN($B$7,$B$6*F51)</f>
        <v/>
      </c>
      <c r="G59" s="8">
        <f>MIN($B$7,$B$6*G51)</f>
        <v/>
      </c>
    </row>
    <row r="60">
      <c r="A60" s="2" t="inlineStr">
        <is>
          <t>Costs</t>
        </is>
      </c>
      <c r="B60" s="8">
        <f>SUM(B53:B59)</f>
        <v/>
      </c>
      <c r="C60" s="8">
        <f>SUM(C53:C59)</f>
        <v/>
      </c>
      <c r="D60" s="8">
        <f>SUM(D53:D59)</f>
        <v/>
      </c>
      <c r="E60" s="8">
        <f>SUM(E53:E59)</f>
        <v/>
      </c>
      <c r="F60" s="8">
        <f>SUM(F53:F59)</f>
        <v/>
      </c>
      <c r="G60" s="8">
        <f>SUM(G53:G59)</f>
        <v/>
      </c>
    </row>
    <row r="61">
      <c r="A61" s="2" t="inlineStr">
        <is>
          <t>Profit / loss</t>
        </is>
      </c>
      <c r="B61" s="8">
        <f>B52-B60</f>
        <v/>
      </c>
      <c r="C61" s="8">
        <f>C52-C60</f>
        <v/>
      </c>
      <c r="D61" s="8">
        <f>D52-D60</f>
        <v/>
      </c>
      <c r="E61" s="8">
        <f>E52-E60</f>
        <v/>
      </c>
      <c r="F61" s="8">
        <f>F52-F60</f>
        <v/>
      </c>
      <c r="G61" s="8">
        <f>G52-G60</f>
        <v/>
      </c>
    </row>
    <row r="62">
      <c r="A62" t="inlineStr">
        <is>
          <t>P/L without AI tokens</t>
        </is>
      </c>
      <c r="B62" s="8">
        <f>B61+B54</f>
        <v/>
      </c>
      <c r="C62" s="8">
        <f>C61+C54</f>
        <v/>
      </c>
      <c r="D62" s="8">
        <f>D61+D54</f>
        <v/>
      </c>
      <c r="E62" s="8">
        <f>E61+E54</f>
        <v/>
      </c>
      <c r="F62" s="8">
        <f>F61+F54</f>
        <v/>
      </c>
      <c r="G62" s="8">
        <f>G61+G54</f>
        <v/>
      </c>
    </row>
    <row r="63">
      <c r="A63" t="inlineStr">
        <is>
          <t>Cumulative P/L</t>
        </is>
      </c>
      <c r="B63" s="8">
        <f>B61</f>
        <v/>
      </c>
      <c r="C63" s="8">
        <f>B63+C61</f>
        <v/>
      </c>
      <c r="D63" s="8">
        <f>C63+D61</f>
        <v/>
      </c>
      <c r="E63" s="8">
        <f>D63+E61</f>
        <v/>
      </c>
      <c r="F63" s="8">
        <f>E63+F61</f>
        <v/>
      </c>
      <c r="G63" s="8">
        <f>F63+G61</f>
        <v/>
      </c>
    </row>
    <row r="64">
      <c r="A64" s="2" t="inlineStr">
        <is>
          <t>Break-even month</t>
        </is>
      </c>
      <c r="B64">
        <f>IFERROR(INDEX($B$49:$G$49,MATCH(TRUE,INDEX($B$61:$G$61&gt;=0,0),0)),"Not in 6 months")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60" customWidth="1" min="3" max="3"/>
  </cols>
  <sheetData>
    <row r="1">
      <c r="A1" s="1" t="inlineStr">
        <is>
          <t>Bucket (Budget v3: ₹10,000 a month, 2026-10-04)</t>
        </is>
      </c>
      <c r="B1" s="1" t="inlineStr">
        <is>
          <t>Cap per month (₹)</t>
        </is>
      </c>
      <c r="C1" s="1" t="inlineStr">
        <is>
          <t>Notes</t>
        </is>
      </c>
    </row>
    <row r="2">
      <c r="A2" t="inlineStr">
        <is>
          <t>Tech</t>
        </is>
      </c>
      <c r="B2" t="n">
        <v>2900</v>
      </c>
      <c r="C2" t="inlineStr">
        <is>
          <t>Supabase Pro from now. Play ₹2,400 once in Oct (from buffer)</t>
        </is>
      </c>
    </row>
    <row r="3">
      <c r="A3" t="inlineStr">
        <is>
          <t>AI tokens</t>
        </is>
      </c>
      <c r="B3" t="n">
        <v>0</v>
      </c>
      <c r="C3" t="inlineStr">
        <is>
          <t>Claude is free for the founder (2026-10-04)</t>
        </is>
      </c>
    </row>
    <row r="4">
      <c r="A4" t="inlineStr">
        <is>
          <t>Rewards</t>
        </is>
      </c>
      <c r="B4" t="n">
        <v>1000</v>
      </c>
      <c r="C4" t="inlineStr">
        <is>
          <t>Cash referrals only; next-stay credits are invoice credits</t>
        </is>
      </c>
    </row>
    <row r="5">
      <c r="A5" t="inlineStr">
        <is>
          <t>Commission</t>
        </is>
      </c>
      <c r="B5" t="n">
        <v>1000</v>
      </c>
      <c r="C5" t="inlineStr">
        <is>
          <t>Hold pay for all partners. ₹200/paying owner is paid from that owner's payment</t>
        </is>
      </c>
    </row>
    <row r="6">
      <c r="A6" t="inlineStr">
        <is>
          <t>Print</t>
        </is>
      </c>
      <c r="B6" t="n">
        <v>1500</v>
      </c>
      <c r="C6" t="inlineStr">
        <is>
          <t>~10 hostels × ₹150</t>
        </is>
      </c>
    </row>
    <row r="7">
      <c r="A7" t="inlineStr">
        <is>
          <t>Travel</t>
        </is>
      </c>
      <c r="B7" t="n">
        <v>2000</v>
      </c>
      <c r="C7" t="inlineStr">
        <is>
          <t>Owner visits</t>
        </is>
      </c>
    </row>
    <row r="8">
      <c r="A8" t="inlineStr">
        <is>
          <t>Ads</t>
        </is>
      </c>
      <c r="B8" t="n">
        <v>0</v>
      </c>
      <c r="C8" t="inlineStr">
        <is>
          <t>Free reels only</t>
        </is>
      </c>
    </row>
    <row r="9">
      <c r="A9" t="inlineStr">
        <is>
          <t>Reserve</t>
        </is>
      </c>
      <c r="B9" t="n">
        <v>1600</v>
      </c>
      <c r="C9" t="inlineStr">
        <is>
          <t>Buffer: pays Play in Oct, then rolls over</t>
        </is>
      </c>
    </row>
    <row r="10">
      <c r="A10" s="2" t="inlineStr">
        <is>
          <t>Total</t>
        </is>
      </c>
      <c r="B10" s="2">
        <f>SUM(B2:B9)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6" customWidth="1" min="4" max="4"/>
    <col width="20" customWidth="1" min="5" max="5"/>
    <col width="12" customWidth="1" min="6" max="6"/>
    <col width="18" customWidth="1" min="7" max="7"/>
    <col width="14" customWidth="1" min="8" max="8"/>
    <col width="16" customWidth="1" min="9" max="9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Type</t>
        </is>
      </c>
      <c r="D1" s="1" t="inlineStr">
        <is>
          <t>Hostel</t>
        </is>
      </c>
      <c r="E1" s="1" t="inlineStr">
        <is>
          <t>Plan (₹499/₹999/₹1,499)</t>
        </is>
      </c>
      <c r="F1" s="1" t="inlineStr">
        <is>
          <t>Amount (₹)</t>
        </is>
      </c>
      <c r="G1" s="1" t="inlineStr">
        <is>
          <t>UTR</t>
        </is>
      </c>
      <c r="H1" s="1" t="inlineStr">
        <is>
          <t>Invoice no.</t>
        </is>
      </c>
      <c r="I1" s="1" t="inlineStr">
        <is>
          <t>Checked in bank? (Y/N)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3">
    <dataValidation sqref="C2:C1000" showDropDown="0" showInputMessage="0" showErrorMessage="0" allowBlank="0" type="list">
      <formula1>"Owner plan,Founder top-up,Other"</formula1>
    </dataValidation>
    <dataValidation sqref="E2:E1000" showDropDown="0" showInputMessage="0" showErrorMessage="0" allowBlank="0" type="list">
      <formula1>"499,999,1499"</formula1>
    </dataValidation>
    <dataValidation sqref="I2:I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4" customWidth="1" min="4" max="4"/>
    <col width="12" customWidth="1" min="5" max="5"/>
    <col width="20" customWidth="1" min="6" max="6"/>
    <col width="20" customWidth="1" min="7" max="7"/>
    <col width="16" customWidth="1" min="8" max="8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What</t>
        </is>
      </c>
      <c r="D1" s="1" t="inlineStr">
        <is>
          <t>Bucket</t>
        </is>
      </c>
      <c r="E1" s="1" t="inlineStr">
        <is>
          <t>Amount (₹)</t>
        </is>
      </c>
      <c r="F1" s="1" t="inlineStr">
        <is>
          <t>Paid to</t>
        </is>
      </c>
      <c r="G1" s="1" t="inlineStr">
        <is>
          <t>UPI ref / bill no.</t>
        </is>
      </c>
      <c r="H1" s="1" t="inlineStr">
        <is>
          <t>Receipt saved? (Y/N)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2">
    <dataValidation sqref="D2:D1000" showDropDown="0" showInputMessage="0" showErrorMessage="0" allowBlank="0" type="list">
      <formula1>"Tech,AI tokens,Rewards,Commission,Print,Travel,Ads,Reserve,Other"</formula1>
    </dataValidation>
    <dataValidation sqref="H2:H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6" customWidth="1" min="4" max="4"/>
    <col width="12" customWidth="1" min="5" max="5"/>
    <col width="22" customWidth="1" min="6" max="6"/>
    <col width="14" customWidth="1" min="7" max="7"/>
    <col width="30" customWidth="1" min="8" max="8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Tenant (last 4 digits of phone)</t>
        </is>
      </c>
      <c r="D1" s="1" t="inlineStr">
        <is>
          <t>Type</t>
        </is>
      </c>
      <c r="E1" s="1" t="inlineStr">
        <is>
          <t>Amount (₹)</t>
        </is>
      </c>
      <c r="F1" s="1" t="inlineStr">
        <is>
          <t>Paid how (UPI / invoice credit)</t>
        </is>
      </c>
      <c r="G1" s="1" t="inlineStr">
        <is>
          <t>Waitlisted? (Y/N)</t>
        </is>
      </c>
      <c r="H1" s="1" t="inlineStr">
        <is>
          <t>Checks done (phone, UPI, owner-confirmed)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1">
    <dataValidation sqref="D2:D1000" showDropDown="0" showInputMessage="0" showErrorMessage="0" allowBlank="0" type="list">
      <formula1>"Referral,Next-stay discount"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6" customWidth="1" min="9" max="9"/>
  </cols>
  <sheetData>
    <row r="1">
      <c r="A1" s="1" t="inlineStr">
        <is>
          <t>Month (YYYY-MM)</t>
        </is>
      </c>
      <c r="B1" s="1" t="inlineStr">
        <is>
          <t>Partner</t>
        </is>
      </c>
      <c r="C1" s="1" t="inlineStr">
        <is>
          <t>Paid owners</t>
        </is>
      </c>
      <c r="D1" s="1" t="inlineStr">
        <is>
          <t>Holds (valid)</t>
        </is>
      </c>
      <c r="E1" s="1" t="inlineStr">
        <is>
          <t>Bonus (₹)</t>
        </is>
      </c>
      <c r="F1" s="1" t="inlineStr">
        <is>
          <t>Owed (₹)</t>
        </is>
      </c>
      <c r="G1" s="1" t="inlineStr">
        <is>
          <t>Paid on</t>
        </is>
      </c>
      <c r="H1" s="1" t="inlineStr">
        <is>
          <t>UPI ref</t>
        </is>
      </c>
      <c r="I1" s="1" t="inlineStr">
        <is>
          <t>Agreement signed? (Y/N)</t>
        </is>
      </c>
    </row>
    <row r="2">
      <c r="F2">
        <f>IF(B2="","",C2*200+MIN(D2,100)*20+E2)</f>
        <v/>
      </c>
    </row>
    <row r="3">
      <c r="F3">
        <f>IF(B3="","",C3*200+MIN(D3,100)*20+E3)</f>
        <v/>
      </c>
    </row>
    <row r="4">
      <c r="F4">
        <f>IF(B4="","",C4*200+MIN(D4,100)*20+E4)</f>
        <v/>
      </c>
    </row>
    <row r="5">
      <c r="F5">
        <f>IF(B5="","",C5*200+MIN(D5,100)*20+E5)</f>
        <v/>
      </c>
    </row>
    <row r="6">
      <c r="F6">
        <f>IF(B6="","",C6*200+MIN(D6,100)*20+E6)</f>
        <v/>
      </c>
    </row>
    <row r="7">
      <c r="F7">
        <f>IF(B7="","",C7*200+MIN(D7,100)*20+E7)</f>
        <v/>
      </c>
    </row>
    <row r="8">
      <c r="F8">
        <f>IF(B8="","",C8*200+MIN(D8,100)*20+E8)</f>
        <v/>
      </c>
    </row>
    <row r="9">
      <c r="F9">
        <f>IF(B9="","",C9*200+MIN(D9,100)*20+E9)</f>
        <v/>
      </c>
    </row>
    <row r="10">
      <c r="F10">
        <f>IF(B10="","",C10*200+MIN(D10,100)*20+E10)</f>
        <v/>
      </c>
    </row>
    <row r="11">
      <c r="F11">
        <f>IF(B11="","",C11*200+MIN(D11,100)*20+E11)</f>
        <v/>
      </c>
    </row>
    <row r="12">
      <c r="F12">
        <f>IF(B12="","",C12*200+MIN(D12,100)*20+E12)</f>
        <v/>
      </c>
    </row>
    <row r="13">
      <c r="F13">
        <f>IF(B13="","",C13*200+MIN(D13,100)*20+E13)</f>
        <v/>
      </c>
    </row>
    <row r="14">
      <c r="F14">
        <f>IF(B14="","",C14*200+MIN(D14,100)*20+E14)</f>
        <v/>
      </c>
    </row>
    <row r="15">
      <c r="F15">
        <f>IF(B15="","",C15*200+MIN(D15,100)*20+E15)</f>
        <v/>
      </c>
    </row>
    <row r="16">
      <c r="F16">
        <f>IF(B16="","",C16*200+MIN(D16,100)*20+E16)</f>
        <v/>
      </c>
    </row>
    <row r="17">
      <c r="F17">
        <f>IF(B17="","",C17*200+MIN(D17,100)*20+E17)</f>
        <v/>
      </c>
    </row>
    <row r="18">
      <c r="F18">
        <f>IF(B18="","",C18*200+MIN(D18,100)*20+E18)</f>
        <v/>
      </c>
    </row>
    <row r="19">
      <c r="F19">
        <f>IF(B19="","",C19*200+MIN(D19,100)*20+E19)</f>
        <v/>
      </c>
    </row>
    <row r="20">
      <c r="F20">
        <f>IF(B20="","",C20*200+MIN(D20,100)*20+E20)</f>
        <v/>
      </c>
    </row>
    <row r="21">
      <c r="F21">
        <f>IF(B21="","",C21*200+MIN(D21,100)*20+E21)</f>
        <v/>
      </c>
    </row>
    <row r="22">
      <c r="F22">
        <f>IF(B22="","",C22*200+MIN(D22,100)*20+E22)</f>
        <v/>
      </c>
    </row>
    <row r="23">
      <c r="F23">
        <f>IF(B23="","",C23*200+MIN(D23,100)*20+E23)</f>
        <v/>
      </c>
    </row>
    <row r="24">
      <c r="F24">
        <f>IF(B24="","",C24*200+MIN(D24,100)*20+E24)</f>
        <v/>
      </c>
    </row>
    <row r="25">
      <c r="F25">
        <f>IF(B25="","",C25*200+MIN(D25,100)*20+E25)</f>
        <v/>
      </c>
    </row>
    <row r="26">
      <c r="F26">
        <f>IF(B26="","",C26*200+MIN(D26,100)*20+E26)</f>
        <v/>
      </c>
    </row>
    <row r="27">
      <c r="F27">
        <f>IF(B27="","",C27*200+MIN(D27,100)*20+E27)</f>
        <v/>
      </c>
    </row>
    <row r="28">
      <c r="F28">
        <f>IF(B28="","",C28*200+MIN(D28,100)*20+E28)</f>
        <v/>
      </c>
    </row>
    <row r="29">
      <c r="F29">
        <f>IF(B29="","",C29*200+MIN(D29,100)*20+E29)</f>
        <v/>
      </c>
    </row>
    <row r="30">
      <c r="F30">
        <f>IF(B30="","",C30*200+MIN(D30,100)*20+E30)</f>
        <v/>
      </c>
    </row>
    <row r="31">
      <c r="F31">
        <f>IF(B31="","",C31*200+MIN(D31,100)*20+E31)</f>
        <v/>
      </c>
    </row>
    <row r="32">
      <c r="F32">
        <f>IF(B32="","",C32*200+MIN(D32,100)*20+E32)</f>
        <v/>
      </c>
    </row>
    <row r="33">
      <c r="F33">
        <f>IF(B33="","",C33*200+MIN(D33,100)*20+E33)</f>
        <v/>
      </c>
    </row>
    <row r="34">
      <c r="F34">
        <f>IF(B34="","",C34*200+MIN(D34,100)*20+E34)</f>
        <v/>
      </c>
    </row>
    <row r="35">
      <c r="F35">
        <f>IF(B35="","",C35*200+MIN(D35,100)*20+E35)</f>
        <v/>
      </c>
    </row>
    <row r="36">
      <c r="F36">
        <f>IF(B36="","",C36*200+MIN(D36,100)*20+E36)</f>
        <v/>
      </c>
    </row>
    <row r="37">
      <c r="F37">
        <f>IF(B37="","",C37*200+MIN(D37,100)*20+E37)</f>
        <v/>
      </c>
    </row>
    <row r="38">
      <c r="F38">
        <f>IF(B38="","",C38*200+MIN(D38,100)*20+E38)</f>
        <v/>
      </c>
    </row>
    <row r="39">
      <c r="F39">
        <f>IF(B39="","",C39*200+MIN(D39,100)*20+E39)</f>
        <v/>
      </c>
    </row>
    <row r="40">
      <c r="F40">
        <f>IF(B40="","",C40*200+MIN(D40,100)*20+E40)</f>
        <v/>
      </c>
    </row>
    <row r="41">
      <c r="F41">
        <f>IF(B41="","",C41*200+MIN(D41,100)*20+E41)</f>
        <v/>
      </c>
    </row>
    <row r="42">
      <c r="F42">
        <f>IF(B42="","",C42*200+MIN(D42,100)*20+E42)</f>
        <v/>
      </c>
    </row>
    <row r="43">
      <c r="F43">
        <f>IF(B43="","",C43*200+MIN(D43,100)*20+E43)</f>
        <v/>
      </c>
    </row>
    <row r="44">
      <c r="F44">
        <f>IF(B44="","",C44*200+MIN(D44,100)*20+E44)</f>
        <v/>
      </c>
    </row>
    <row r="45">
      <c r="F45">
        <f>IF(B45="","",C45*200+MIN(D45,100)*20+E45)</f>
        <v/>
      </c>
    </row>
    <row r="46">
      <c r="F46">
        <f>IF(B46="","",C46*200+MIN(D46,100)*20+E46)</f>
        <v/>
      </c>
    </row>
    <row r="47">
      <c r="F47">
        <f>IF(B47="","",C47*200+MIN(D47,100)*20+E47)</f>
        <v/>
      </c>
    </row>
    <row r="48">
      <c r="F48">
        <f>IF(B48="","",C48*200+MIN(D48,100)*20+E48)</f>
        <v/>
      </c>
    </row>
    <row r="49">
      <c r="F49">
        <f>IF(B49="","",C49*200+MIN(D49,100)*20+E49)</f>
        <v/>
      </c>
    </row>
    <row r="50">
      <c r="F50">
        <f>IF(B50="","",C50*200+MIN(D50,100)*20+E50)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3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>
      <c r="A1" s="1" t="inlineStr">
        <is>
          <t>Month</t>
        </is>
      </c>
      <c r="B1" s="1" t="inlineStr">
        <is>
          <t>Owner income</t>
        </is>
      </c>
      <c r="C1" s="1" t="inlineStr">
        <is>
          <t>Money out</t>
        </is>
      </c>
      <c r="D1" s="1" t="inlineStr">
        <is>
          <t>Profit / loss</t>
        </is>
      </c>
      <c r="E1" s="1" t="inlineStr">
        <is>
          <t>Paid hostels</t>
        </is>
      </c>
      <c r="F1" s="1" t="inlineStr">
        <is>
          <t>Tech</t>
        </is>
      </c>
      <c r="G1" s="1" t="inlineStr">
        <is>
          <t>AI tokens</t>
        </is>
      </c>
      <c r="H1" s="1" t="inlineStr">
        <is>
          <t>Rewards</t>
        </is>
      </c>
      <c r="I1" s="1" t="inlineStr">
        <is>
          <t>Commission</t>
        </is>
      </c>
      <c r="J1" s="1" t="inlineStr">
        <is>
          <t>Print</t>
        </is>
      </c>
      <c r="K1" s="1" t="inlineStr">
        <is>
          <t>Travel</t>
        </is>
      </c>
      <c r="L1" s="1" t="inlineStr">
        <is>
          <t>Ads</t>
        </is>
      </c>
      <c r="M1" s="1" t="inlineStr">
        <is>
          <t>Rewards over cap?</t>
        </is>
      </c>
      <c r="N1" s="1" t="inlineStr">
        <is>
          <t>Bank balance (all in − all out, to date)</t>
        </is>
      </c>
    </row>
    <row r="2">
      <c r="A2" t="inlineStr">
        <is>
          <t>2026-10</t>
        </is>
      </c>
      <c r="B2">
        <f>SUMIFS('Money in'!F:F,'Money in'!B:B,A2,'Money in'!C:C,"Owner plan")</f>
        <v/>
      </c>
      <c r="C2">
        <f>SUMIF('Money out'!B:B,A2,'Money out'!E:E)</f>
        <v/>
      </c>
      <c r="D2">
        <f>B2-C2</f>
        <v/>
      </c>
      <c r="E2">
        <f>COUNTIFS('Money in'!B:B,A2,'Money in'!C:C,"Owner plan")</f>
        <v/>
      </c>
      <c r="F2">
        <f>SUMIFS('Money out'!E:E,'Money out'!B:B,A2,'Money out'!D:D,"Tech")</f>
        <v/>
      </c>
      <c r="G2">
        <f>SUMIFS('Money out'!E:E,'Money out'!B:B,A2,'Money out'!D:D,"AI tokens")</f>
        <v/>
      </c>
      <c r="H2">
        <f>SUMIFS('Money out'!E:E,'Money out'!B:B,A2,'Money out'!D:D,"Rewards")</f>
        <v/>
      </c>
      <c r="I2">
        <f>SUMIFS('Money out'!E:E,'Money out'!B:B,A2,'Money out'!D:D,"Commission")</f>
        <v/>
      </c>
      <c r="J2">
        <f>SUMIFS('Money out'!E:E,'Money out'!B:B,A2,'Money out'!D:D,"Print")</f>
        <v/>
      </c>
      <c r="K2">
        <f>SUMIFS('Money out'!E:E,'Money out'!B:B,A2,'Money out'!D:D,"Travel")</f>
        <v/>
      </c>
      <c r="L2">
        <f>SUMIFS('Money out'!E:E,'Money out'!B:B,A2,'Money out'!D:D,"Ads")</f>
        <v/>
      </c>
      <c r="M2">
        <f>IF(H2&gt;Budget!B4,"OVER","ok")</f>
        <v/>
      </c>
      <c r="N2">
        <f>SUMIF('Money in'!B:B,A2,'Money in'!F:F)-C2</f>
        <v/>
      </c>
    </row>
    <row r="3">
      <c r="A3" t="inlineStr">
        <is>
          <t>2026-11</t>
        </is>
      </c>
      <c r="B3">
        <f>SUMIFS('Money in'!F:F,'Money in'!B:B,A3,'Money in'!C:C,"Owner plan")</f>
        <v/>
      </c>
      <c r="C3">
        <f>SUMIF('Money out'!B:B,A3,'Money out'!E:E)</f>
        <v/>
      </c>
      <c r="D3">
        <f>B3-C3</f>
        <v/>
      </c>
      <c r="E3">
        <f>COUNTIFS('Money in'!B:B,A3,'Money in'!C:C,"Owner plan")</f>
        <v/>
      </c>
      <c r="F3">
        <f>SUMIFS('Money out'!E:E,'Money out'!B:B,A3,'Money out'!D:D,"Tech")</f>
        <v/>
      </c>
      <c r="G3">
        <f>SUMIFS('Money out'!E:E,'Money out'!B:B,A3,'Money out'!D:D,"AI tokens")</f>
        <v/>
      </c>
      <c r="H3">
        <f>SUMIFS('Money out'!E:E,'Money out'!B:B,A3,'Money out'!D:D,"Rewards")</f>
        <v/>
      </c>
      <c r="I3">
        <f>SUMIFS('Money out'!E:E,'Money out'!B:B,A3,'Money out'!D:D,"Commission")</f>
        <v/>
      </c>
      <c r="J3">
        <f>SUMIFS('Money out'!E:E,'Money out'!B:B,A3,'Money out'!D:D,"Print")</f>
        <v/>
      </c>
      <c r="K3">
        <f>SUMIFS('Money out'!E:E,'Money out'!B:B,A3,'Money out'!D:D,"Travel")</f>
        <v/>
      </c>
      <c r="L3">
        <f>SUMIFS('Money out'!E:E,'Money out'!B:B,A3,'Money out'!D:D,"Ads")</f>
        <v/>
      </c>
      <c r="M3">
        <f>IF(H3&gt;Budget!B4,"OVER","ok")</f>
        <v/>
      </c>
      <c r="N3">
        <f>N2+SUMIF('Money in'!B:B,A3,'Money in'!F:F)-C3</f>
        <v/>
      </c>
    </row>
    <row r="4">
      <c r="A4" t="inlineStr">
        <is>
          <t>2026-12</t>
        </is>
      </c>
      <c r="B4">
        <f>SUMIFS('Money in'!F:F,'Money in'!B:B,A4,'Money in'!C:C,"Owner plan")</f>
        <v/>
      </c>
      <c r="C4">
        <f>SUMIF('Money out'!B:B,A4,'Money out'!E:E)</f>
        <v/>
      </c>
      <c r="D4">
        <f>B4-C4</f>
        <v/>
      </c>
      <c r="E4">
        <f>COUNTIFS('Money in'!B:B,A4,'Money in'!C:C,"Owner plan")</f>
        <v/>
      </c>
      <c r="F4">
        <f>SUMIFS('Money out'!E:E,'Money out'!B:B,A4,'Money out'!D:D,"Tech")</f>
        <v/>
      </c>
      <c r="G4">
        <f>SUMIFS('Money out'!E:E,'Money out'!B:B,A4,'Money out'!D:D,"AI tokens")</f>
        <v/>
      </c>
      <c r="H4">
        <f>SUMIFS('Money out'!E:E,'Money out'!B:B,A4,'Money out'!D:D,"Rewards")</f>
        <v/>
      </c>
      <c r="I4">
        <f>SUMIFS('Money out'!E:E,'Money out'!B:B,A4,'Money out'!D:D,"Commission")</f>
        <v/>
      </c>
      <c r="J4">
        <f>SUMIFS('Money out'!E:E,'Money out'!B:B,A4,'Money out'!D:D,"Print")</f>
        <v/>
      </c>
      <c r="K4">
        <f>SUMIFS('Money out'!E:E,'Money out'!B:B,A4,'Money out'!D:D,"Travel")</f>
        <v/>
      </c>
      <c r="L4">
        <f>SUMIFS('Money out'!E:E,'Money out'!B:B,A4,'Money out'!D:D,"Ads")</f>
        <v/>
      </c>
      <c r="M4">
        <f>IF(H4&gt;Budget!B4,"OVER","ok")</f>
        <v/>
      </c>
      <c r="N4">
        <f>N3+SUMIF('Money in'!B:B,A4,'Money in'!F:F)-C4</f>
        <v/>
      </c>
    </row>
    <row r="5">
      <c r="A5" t="inlineStr">
        <is>
          <t>2027-01</t>
        </is>
      </c>
      <c r="B5">
        <f>SUMIFS('Money in'!F:F,'Money in'!B:B,A5,'Money in'!C:C,"Owner plan")</f>
        <v/>
      </c>
      <c r="C5">
        <f>SUMIF('Money out'!B:B,A5,'Money out'!E:E)</f>
        <v/>
      </c>
      <c r="D5">
        <f>B5-C5</f>
        <v/>
      </c>
      <c r="E5">
        <f>COUNTIFS('Money in'!B:B,A5,'Money in'!C:C,"Owner plan")</f>
        <v/>
      </c>
      <c r="F5">
        <f>SUMIFS('Money out'!E:E,'Money out'!B:B,A5,'Money out'!D:D,"Tech")</f>
        <v/>
      </c>
      <c r="G5">
        <f>SUMIFS('Money out'!E:E,'Money out'!B:B,A5,'Money out'!D:D,"AI tokens")</f>
        <v/>
      </c>
      <c r="H5">
        <f>SUMIFS('Money out'!E:E,'Money out'!B:B,A5,'Money out'!D:D,"Rewards")</f>
        <v/>
      </c>
      <c r="I5">
        <f>SUMIFS('Money out'!E:E,'Money out'!B:B,A5,'Money out'!D:D,"Commission")</f>
        <v/>
      </c>
      <c r="J5">
        <f>SUMIFS('Money out'!E:E,'Money out'!B:B,A5,'Money out'!D:D,"Print")</f>
        <v/>
      </c>
      <c r="K5">
        <f>SUMIFS('Money out'!E:E,'Money out'!B:B,A5,'Money out'!D:D,"Travel")</f>
        <v/>
      </c>
      <c r="L5">
        <f>SUMIFS('Money out'!E:E,'Money out'!B:B,A5,'Money out'!D:D,"Ads")</f>
        <v/>
      </c>
      <c r="M5">
        <f>IF(H5&gt;Budget!B4,"OVER","ok")</f>
        <v/>
      </c>
      <c r="N5">
        <f>N4+SUMIF('Money in'!B:B,A5,'Money in'!F:F)-C5</f>
        <v/>
      </c>
    </row>
    <row r="6">
      <c r="A6" t="inlineStr">
        <is>
          <t>2027-02</t>
        </is>
      </c>
      <c r="B6">
        <f>SUMIFS('Money in'!F:F,'Money in'!B:B,A6,'Money in'!C:C,"Owner plan")</f>
        <v/>
      </c>
      <c r="C6">
        <f>SUMIF('Money out'!B:B,A6,'Money out'!E:E)</f>
        <v/>
      </c>
      <c r="D6">
        <f>B6-C6</f>
        <v/>
      </c>
      <c r="E6">
        <f>COUNTIFS('Money in'!B:B,A6,'Money in'!C:C,"Owner plan")</f>
        <v/>
      </c>
      <c r="F6">
        <f>SUMIFS('Money out'!E:E,'Money out'!B:B,A6,'Money out'!D:D,"Tech")</f>
        <v/>
      </c>
      <c r="G6">
        <f>SUMIFS('Money out'!E:E,'Money out'!B:B,A6,'Money out'!D:D,"AI tokens")</f>
        <v/>
      </c>
      <c r="H6">
        <f>SUMIFS('Money out'!E:E,'Money out'!B:B,A6,'Money out'!D:D,"Rewards")</f>
        <v/>
      </c>
      <c r="I6">
        <f>SUMIFS('Money out'!E:E,'Money out'!B:B,A6,'Money out'!D:D,"Commission")</f>
        <v/>
      </c>
      <c r="J6">
        <f>SUMIFS('Money out'!E:E,'Money out'!B:B,A6,'Money out'!D:D,"Print")</f>
        <v/>
      </c>
      <c r="K6">
        <f>SUMIFS('Money out'!E:E,'Money out'!B:B,A6,'Money out'!D:D,"Travel")</f>
        <v/>
      </c>
      <c r="L6">
        <f>SUMIFS('Money out'!E:E,'Money out'!B:B,A6,'Money out'!D:D,"Ads")</f>
        <v/>
      </c>
      <c r="M6">
        <f>IF(H6&gt;Budget!B4,"OVER","ok")</f>
        <v/>
      </c>
      <c r="N6">
        <f>N5+SUMIF('Money in'!B:B,A6,'Money in'!F:F)-C6</f>
        <v/>
      </c>
    </row>
    <row r="7">
      <c r="A7" t="inlineStr">
        <is>
          <t>2027-03</t>
        </is>
      </c>
      <c r="B7">
        <f>SUMIFS('Money in'!F:F,'Money in'!B:B,A7,'Money in'!C:C,"Owner plan")</f>
        <v/>
      </c>
      <c r="C7">
        <f>SUMIF('Money out'!B:B,A7,'Money out'!E:E)</f>
        <v/>
      </c>
      <c r="D7">
        <f>B7-C7</f>
        <v/>
      </c>
      <c r="E7">
        <f>COUNTIFS('Money in'!B:B,A7,'Money in'!C:C,"Owner plan")</f>
        <v/>
      </c>
      <c r="F7">
        <f>SUMIFS('Money out'!E:E,'Money out'!B:B,A7,'Money out'!D:D,"Tech")</f>
        <v/>
      </c>
      <c r="G7">
        <f>SUMIFS('Money out'!E:E,'Money out'!B:B,A7,'Money out'!D:D,"AI tokens")</f>
        <v/>
      </c>
      <c r="H7">
        <f>SUMIFS('Money out'!E:E,'Money out'!B:B,A7,'Money out'!D:D,"Rewards")</f>
        <v/>
      </c>
      <c r="I7">
        <f>SUMIFS('Money out'!E:E,'Money out'!B:B,A7,'Money out'!D:D,"Commission")</f>
        <v/>
      </c>
      <c r="J7">
        <f>SUMIFS('Money out'!E:E,'Money out'!B:B,A7,'Money out'!D:D,"Print")</f>
        <v/>
      </c>
      <c r="K7">
        <f>SUMIFS('Money out'!E:E,'Money out'!B:B,A7,'Money out'!D:D,"Travel")</f>
        <v/>
      </c>
      <c r="L7">
        <f>SUMIFS('Money out'!E:E,'Money out'!B:B,A7,'Money out'!D:D,"Ads")</f>
        <v/>
      </c>
      <c r="M7">
        <f>IF(H7&gt;Budget!B4,"OVER","ok")</f>
        <v/>
      </c>
      <c r="N7">
        <f>N6+SUMIF('Money in'!B:B,A7,'Money in'!F:F)-C7</f>
        <v/>
      </c>
    </row>
    <row r="8">
      <c r="A8" t="inlineStr">
        <is>
          <t>2027-04</t>
        </is>
      </c>
      <c r="B8">
        <f>SUMIFS('Money in'!F:F,'Money in'!B:B,A8,'Money in'!C:C,"Owner plan")</f>
        <v/>
      </c>
      <c r="C8">
        <f>SUMIF('Money out'!B:B,A8,'Money out'!E:E)</f>
        <v/>
      </c>
      <c r="D8">
        <f>B8-C8</f>
        <v/>
      </c>
      <c r="E8">
        <f>COUNTIFS('Money in'!B:B,A8,'Money in'!C:C,"Owner plan")</f>
        <v/>
      </c>
      <c r="F8">
        <f>SUMIFS('Money out'!E:E,'Money out'!B:B,A8,'Money out'!D:D,"Tech")</f>
        <v/>
      </c>
      <c r="G8">
        <f>SUMIFS('Money out'!E:E,'Money out'!B:B,A8,'Money out'!D:D,"AI tokens")</f>
        <v/>
      </c>
      <c r="H8">
        <f>SUMIFS('Money out'!E:E,'Money out'!B:B,A8,'Money out'!D:D,"Rewards")</f>
        <v/>
      </c>
      <c r="I8">
        <f>SUMIFS('Money out'!E:E,'Money out'!B:B,A8,'Money out'!D:D,"Commission")</f>
        <v/>
      </c>
      <c r="J8">
        <f>SUMIFS('Money out'!E:E,'Money out'!B:B,A8,'Money out'!D:D,"Print")</f>
        <v/>
      </c>
      <c r="K8">
        <f>SUMIFS('Money out'!E:E,'Money out'!B:B,A8,'Money out'!D:D,"Travel")</f>
        <v/>
      </c>
      <c r="L8">
        <f>SUMIFS('Money out'!E:E,'Money out'!B:B,A8,'Money out'!D:D,"Ads")</f>
        <v/>
      </c>
      <c r="M8">
        <f>IF(H8&gt;Budget!B4,"OVER","ok")</f>
        <v/>
      </c>
      <c r="N8">
        <f>N7+SUMIF('Money in'!B:B,A8,'Money in'!F:F)-C8</f>
        <v/>
      </c>
    </row>
    <row r="9">
      <c r="A9" t="inlineStr">
        <is>
          <t>2027-05</t>
        </is>
      </c>
      <c r="B9">
        <f>SUMIFS('Money in'!F:F,'Money in'!B:B,A9,'Money in'!C:C,"Owner plan")</f>
        <v/>
      </c>
      <c r="C9">
        <f>SUMIF('Money out'!B:B,A9,'Money out'!E:E)</f>
        <v/>
      </c>
      <c r="D9">
        <f>B9-C9</f>
        <v/>
      </c>
      <c r="E9">
        <f>COUNTIFS('Money in'!B:B,A9,'Money in'!C:C,"Owner plan")</f>
        <v/>
      </c>
      <c r="F9">
        <f>SUMIFS('Money out'!E:E,'Money out'!B:B,A9,'Money out'!D:D,"Tech")</f>
        <v/>
      </c>
      <c r="G9">
        <f>SUMIFS('Money out'!E:E,'Money out'!B:B,A9,'Money out'!D:D,"AI tokens")</f>
        <v/>
      </c>
      <c r="H9">
        <f>SUMIFS('Money out'!E:E,'Money out'!B:B,A9,'Money out'!D:D,"Rewards")</f>
        <v/>
      </c>
      <c r="I9">
        <f>SUMIFS('Money out'!E:E,'Money out'!B:B,A9,'Money out'!D:D,"Commission")</f>
        <v/>
      </c>
      <c r="J9">
        <f>SUMIFS('Money out'!E:E,'Money out'!B:B,A9,'Money out'!D:D,"Print")</f>
        <v/>
      </c>
      <c r="K9">
        <f>SUMIFS('Money out'!E:E,'Money out'!B:B,A9,'Money out'!D:D,"Travel")</f>
        <v/>
      </c>
      <c r="L9">
        <f>SUMIFS('Money out'!E:E,'Money out'!B:B,A9,'Money out'!D:D,"Ads")</f>
        <v/>
      </c>
      <c r="M9">
        <f>IF(H9&gt;Budget!B4,"OVER","ok")</f>
        <v/>
      </c>
      <c r="N9">
        <f>N8+SUMIF('Money in'!B:B,A9,'Money in'!F:F)-C9</f>
        <v/>
      </c>
    </row>
    <row r="10">
      <c r="A10" t="inlineStr">
        <is>
          <t>2027-06</t>
        </is>
      </c>
      <c r="B10">
        <f>SUMIFS('Money in'!F:F,'Money in'!B:B,A10,'Money in'!C:C,"Owner plan")</f>
        <v/>
      </c>
      <c r="C10">
        <f>SUMIF('Money out'!B:B,A10,'Money out'!E:E)</f>
        <v/>
      </c>
      <c r="D10">
        <f>B10-C10</f>
        <v/>
      </c>
      <c r="E10">
        <f>COUNTIFS('Money in'!B:B,A10,'Money in'!C:C,"Owner plan")</f>
        <v/>
      </c>
      <c r="F10">
        <f>SUMIFS('Money out'!E:E,'Money out'!B:B,A10,'Money out'!D:D,"Tech")</f>
        <v/>
      </c>
      <c r="G10">
        <f>SUMIFS('Money out'!E:E,'Money out'!B:B,A10,'Money out'!D:D,"AI tokens")</f>
        <v/>
      </c>
      <c r="H10">
        <f>SUMIFS('Money out'!E:E,'Money out'!B:B,A10,'Money out'!D:D,"Rewards")</f>
        <v/>
      </c>
      <c r="I10">
        <f>SUMIFS('Money out'!E:E,'Money out'!B:B,A10,'Money out'!D:D,"Commission")</f>
        <v/>
      </c>
      <c r="J10">
        <f>SUMIFS('Money out'!E:E,'Money out'!B:B,A10,'Money out'!D:D,"Print")</f>
        <v/>
      </c>
      <c r="K10">
        <f>SUMIFS('Money out'!E:E,'Money out'!B:B,A10,'Money out'!D:D,"Travel")</f>
        <v/>
      </c>
      <c r="L10">
        <f>SUMIFS('Money out'!E:E,'Money out'!B:B,A10,'Money out'!D:D,"Ads")</f>
        <v/>
      </c>
      <c r="M10">
        <f>IF(H10&gt;Budget!B4,"OVER","ok")</f>
        <v/>
      </c>
      <c r="N10">
        <f>N9+SUMIF('Money in'!B:B,A10,'Money in'!F:F)-C10</f>
        <v/>
      </c>
    </row>
    <row r="11">
      <c r="A11" t="inlineStr">
        <is>
          <t>2027-07</t>
        </is>
      </c>
      <c r="B11">
        <f>SUMIFS('Money in'!F:F,'Money in'!B:B,A11,'Money in'!C:C,"Owner plan")</f>
        <v/>
      </c>
      <c r="C11">
        <f>SUMIF('Money out'!B:B,A11,'Money out'!E:E)</f>
        <v/>
      </c>
      <c r="D11">
        <f>B11-C11</f>
        <v/>
      </c>
      <c r="E11">
        <f>COUNTIFS('Money in'!B:B,A11,'Money in'!C:C,"Owner plan")</f>
        <v/>
      </c>
      <c r="F11">
        <f>SUMIFS('Money out'!E:E,'Money out'!B:B,A11,'Money out'!D:D,"Tech")</f>
        <v/>
      </c>
      <c r="G11">
        <f>SUMIFS('Money out'!E:E,'Money out'!B:B,A11,'Money out'!D:D,"AI tokens")</f>
        <v/>
      </c>
      <c r="H11">
        <f>SUMIFS('Money out'!E:E,'Money out'!B:B,A11,'Money out'!D:D,"Rewards")</f>
        <v/>
      </c>
      <c r="I11">
        <f>SUMIFS('Money out'!E:E,'Money out'!B:B,A11,'Money out'!D:D,"Commission")</f>
        <v/>
      </c>
      <c r="J11">
        <f>SUMIFS('Money out'!E:E,'Money out'!B:B,A11,'Money out'!D:D,"Print")</f>
        <v/>
      </c>
      <c r="K11">
        <f>SUMIFS('Money out'!E:E,'Money out'!B:B,A11,'Money out'!D:D,"Travel")</f>
        <v/>
      </c>
      <c r="L11">
        <f>SUMIFS('Money out'!E:E,'Money out'!B:B,A11,'Money out'!D:D,"Ads")</f>
        <v/>
      </c>
      <c r="M11">
        <f>IF(H11&gt;Budget!B4,"OVER","ok")</f>
        <v/>
      </c>
      <c r="N11">
        <f>N10+SUMIF('Money in'!B:B,A11,'Money in'!F:F)-C11</f>
        <v/>
      </c>
    </row>
    <row r="12">
      <c r="A12" t="inlineStr">
        <is>
          <t>2027-08</t>
        </is>
      </c>
      <c r="B12">
        <f>SUMIFS('Money in'!F:F,'Money in'!B:B,A12,'Money in'!C:C,"Owner plan")</f>
        <v/>
      </c>
      <c r="C12">
        <f>SUMIF('Money out'!B:B,A12,'Money out'!E:E)</f>
        <v/>
      </c>
      <c r="D12">
        <f>B12-C12</f>
        <v/>
      </c>
      <c r="E12">
        <f>COUNTIFS('Money in'!B:B,A12,'Money in'!C:C,"Owner plan")</f>
        <v/>
      </c>
      <c r="F12">
        <f>SUMIFS('Money out'!E:E,'Money out'!B:B,A12,'Money out'!D:D,"Tech")</f>
        <v/>
      </c>
      <c r="G12">
        <f>SUMIFS('Money out'!E:E,'Money out'!B:B,A12,'Money out'!D:D,"AI tokens")</f>
        <v/>
      </c>
      <c r="H12">
        <f>SUMIFS('Money out'!E:E,'Money out'!B:B,A12,'Money out'!D:D,"Rewards")</f>
        <v/>
      </c>
      <c r="I12">
        <f>SUMIFS('Money out'!E:E,'Money out'!B:B,A12,'Money out'!D:D,"Commission")</f>
        <v/>
      </c>
      <c r="J12">
        <f>SUMIFS('Money out'!E:E,'Money out'!B:B,A12,'Money out'!D:D,"Print")</f>
        <v/>
      </c>
      <c r="K12">
        <f>SUMIFS('Money out'!E:E,'Money out'!B:B,A12,'Money out'!D:D,"Travel")</f>
        <v/>
      </c>
      <c r="L12">
        <f>SUMIFS('Money out'!E:E,'Money out'!B:B,A12,'Money out'!D:D,"Ads")</f>
        <v/>
      </c>
      <c r="M12">
        <f>IF(H12&gt;Budget!B4,"OVER","ok")</f>
        <v/>
      </c>
      <c r="N12">
        <f>N11+SUMIF('Money in'!B:B,A12,'Money in'!F:F)-C12</f>
        <v/>
      </c>
    </row>
    <row r="13">
      <c r="A13" t="inlineStr">
        <is>
          <t>2027-09</t>
        </is>
      </c>
      <c r="B13">
        <f>SUMIFS('Money in'!F:F,'Money in'!B:B,A13,'Money in'!C:C,"Owner plan")</f>
        <v/>
      </c>
      <c r="C13">
        <f>SUMIF('Money out'!B:B,A13,'Money out'!E:E)</f>
        <v/>
      </c>
      <c r="D13">
        <f>B13-C13</f>
        <v/>
      </c>
      <c r="E13">
        <f>COUNTIFS('Money in'!B:B,A13,'Money in'!C:C,"Owner plan")</f>
        <v/>
      </c>
      <c r="F13">
        <f>SUMIFS('Money out'!E:E,'Money out'!B:B,A13,'Money out'!D:D,"Tech")</f>
        <v/>
      </c>
      <c r="G13">
        <f>SUMIFS('Money out'!E:E,'Money out'!B:B,A13,'Money out'!D:D,"AI tokens")</f>
        <v/>
      </c>
      <c r="H13">
        <f>SUMIFS('Money out'!E:E,'Money out'!B:B,A13,'Money out'!D:D,"Rewards")</f>
        <v/>
      </c>
      <c r="I13">
        <f>SUMIFS('Money out'!E:E,'Money out'!B:B,A13,'Money out'!D:D,"Commission")</f>
        <v/>
      </c>
      <c r="J13">
        <f>SUMIFS('Money out'!E:E,'Money out'!B:B,A13,'Money out'!D:D,"Print")</f>
        <v/>
      </c>
      <c r="K13">
        <f>SUMIFS('Money out'!E:E,'Money out'!B:B,A13,'Money out'!D:D,"Travel")</f>
        <v/>
      </c>
      <c r="L13">
        <f>SUMIFS('Money out'!E:E,'Money out'!B:B,A13,'Money out'!D:D,"Ads")</f>
        <v/>
      </c>
      <c r="M13">
        <f>IF(H13&gt;Budget!B4,"OVER","ok")</f>
        <v/>
      </c>
      <c r="N13">
        <f>N12+SUMIF('Money in'!B:B,A13,'Money in'!F:F)-C13</f>
        <v/>
      </c>
    </row>
    <row r="15">
      <c r="A15" t="inlineStr">
        <is>
          <t>Note: Profit / loss counts only owner income. Put your monthly ₹40k in 'Money in' with Type = Founder top-up, so the bank balance column matches the real bank account.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2026-10-02T22:24:27Z</dcterms:created>
  <dcterms:modified xsi:type="dcterms:W3CDTF">2026-10-04T10:22:05Z</dcterms:modified>
</cp:coreProperties>
</file>