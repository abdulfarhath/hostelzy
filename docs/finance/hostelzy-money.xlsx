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udget" sheetId="2" state="visible" r:id="rId2"/>
    <sheet name="Money in" sheetId="3" state="visible" r:id="rId3"/>
    <sheet name="Money out" sheetId="4" state="visible" r:id="rId4"/>
    <sheet name="Rewards" sheetId="5" state="visible" r:id="rId5"/>
    <sheet name="Partners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EC301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>
      <c r="A1" s="1" t="inlineStr">
        <is>
          <t>Step</t>
        </is>
      </c>
      <c r="B1" s="1" t="inlineStr">
        <is>
          <t>What to do</t>
        </is>
      </c>
    </row>
    <row r="2">
      <c r="A2" t="n">
        <v>1</v>
      </c>
      <c r="B2" t="inlineStr">
        <is>
          <t>Upload this file to Google Drive → Open with Google Sheets.</t>
        </is>
      </c>
    </row>
    <row r="3">
      <c r="A3" t="n">
        <v>2</v>
      </c>
      <c r="B3" t="inlineStr">
        <is>
          <t>Every Sunday (10 min): add new rows to Money in, Money out, Rewards, Partners.</t>
        </is>
      </c>
    </row>
    <row r="4">
      <c r="A4" t="n">
        <v>3</v>
      </c>
      <c r="B4" t="inlineStr">
        <is>
          <t>Type only the Date; the Month column fills itself. The Summary tab adds up by month by itself.</t>
        </is>
      </c>
    </row>
    <row r="5">
      <c r="A5" t="n">
        <v>4</v>
      </c>
      <c r="B5" t="inlineStr">
        <is>
          <t>Every payment in Money in needs a UTR. Tick 'Checked in bank' only after you see it in the bank statement.</t>
        </is>
      </c>
    </row>
    <row r="6">
      <c r="A6" t="n">
        <v>5</v>
      </c>
      <c r="B6" t="inlineStr">
        <is>
          <t>Every row in Money out needs a receipt saved in Drive: Hostelzy/Receipts/YYYY-MM/.</t>
        </is>
      </c>
    </row>
    <row r="7">
      <c r="A7" t="n">
        <v>6</v>
      </c>
      <c r="B7" t="inlineStr">
        <is>
          <t>Budget caps are in the Budget tab. Red in the Summary = over the cap.</t>
        </is>
      </c>
    </row>
    <row r="8">
      <c r="A8" t="n">
        <v>7</v>
      </c>
      <c r="B8" t="inlineStr">
        <is>
          <t>Plan and rules: docs/finance/plan.md in the repo.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60" customWidth="1" min="3" max="3"/>
  </cols>
  <sheetData>
    <row r="1">
      <c r="A1" s="1" t="inlineStr">
        <is>
          <t>Bucket</t>
        </is>
      </c>
      <c r="B1" s="1" t="inlineStr">
        <is>
          <t>Cap per month (₹)</t>
        </is>
      </c>
      <c r="C1" s="1" t="inlineStr">
        <is>
          <t>Notes</t>
        </is>
      </c>
    </row>
    <row r="2">
      <c r="A2" t="inlineStr">
        <is>
          <t>Tech</t>
        </is>
      </c>
      <c r="B2" t="n">
        <v>5000</v>
      </c>
      <c r="C2" t="inlineStr">
        <is>
          <t>Supabase, Play, maps, domain</t>
        </is>
      </c>
    </row>
    <row r="3">
      <c r="A3" t="inlineStr">
        <is>
          <t>AI tokens</t>
        </is>
      </c>
      <c r="B3" t="n">
        <v>10000</v>
      </c>
      <c r="C3" t="inlineStr">
        <is>
          <t>Claude plan; fill real bill</t>
        </is>
      </c>
    </row>
    <row r="4">
      <c r="A4" t="inlineStr">
        <is>
          <t>Rewards</t>
        </is>
      </c>
      <c r="B4" t="n">
        <v>5000</v>
      </c>
      <c r="C4" t="inlineStr">
        <is>
          <t>PROPOSED cap, plan.md §6</t>
        </is>
      </c>
    </row>
    <row r="5">
      <c r="A5" t="inlineStr">
        <is>
          <t>Commission</t>
        </is>
      </c>
      <c r="B5" t="n">
        <v>8000</v>
      </c>
      <c r="C5" t="inlineStr">
        <is>
          <t>Partners / ambassadors</t>
        </is>
      </c>
    </row>
    <row r="6">
      <c r="A6" t="inlineStr">
        <is>
          <t>Print</t>
        </is>
      </c>
      <c r="B6" t="n">
        <v>4000</v>
      </c>
      <c r="C6" t="inlineStr">
        <is>
          <t>QR posters, stickers</t>
        </is>
      </c>
    </row>
    <row r="7">
      <c r="A7" t="inlineStr">
        <is>
          <t>Travel</t>
        </is>
      </c>
      <c r="B7" t="n">
        <v>3000</v>
      </c>
      <c r="C7" t="inlineStr">
        <is>
          <t>Owner visits</t>
        </is>
      </c>
    </row>
    <row r="8">
      <c r="A8" t="inlineStr">
        <is>
          <t>Ads</t>
        </is>
      </c>
      <c r="B8" t="n">
        <v>2000</v>
      </c>
      <c r="C8" t="inlineStr">
        <is>
          <t>Instagram boosts, test only</t>
        </is>
      </c>
    </row>
    <row r="9">
      <c r="A9" t="inlineStr">
        <is>
          <t>Reserve</t>
        </is>
      </c>
      <c r="B9" t="n">
        <v>3000</v>
      </c>
      <c r="C9" t="inlineStr">
        <is>
          <t>Plus anything unused</t>
        </is>
      </c>
    </row>
    <row r="10">
      <c r="A10" s="2" t="inlineStr">
        <is>
          <t>Total</t>
        </is>
      </c>
      <c r="B10" s="2">
        <f>SUM(B2:B9)</f>
        <v/>
      </c>
      <c r="C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6" customWidth="1" min="4" max="4"/>
    <col width="20" customWidth="1" min="5" max="5"/>
    <col width="12" customWidth="1" min="6" max="6"/>
    <col width="18" customWidth="1" min="7" max="7"/>
    <col width="14" customWidth="1" min="8" max="8"/>
    <col width="16" customWidth="1" min="9" max="9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Type</t>
        </is>
      </c>
      <c r="D1" s="1" t="inlineStr">
        <is>
          <t>Hostel</t>
        </is>
      </c>
      <c r="E1" s="1" t="inlineStr">
        <is>
          <t>Plan (₹499/₹999/₹1,499)</t>
        </is>
      </c>
      <c r="F1" s="1" t="inlineStr">
        <is>
          <t>Amount (₹)</t>
        </is>
      </c>
      <c r="G1" s="1" t="inlineStr">
        <is>
          <t>UTR</t>
        </is>
      </c>
      <c r="H1" s="1" t="inlineStr">
        <is>
          <t>Invoice no.</t>
        </is>
      </c>
      <c r="I1" s="1" t="inlineStr">
        <is>
          <t>Checked in bank? (Y/N)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3">
    <dataValidation sqref="C2:C1000" showDropDown="0" showInputMessage="0" showErrorMessage="0" allowBlank="0" type="list">
      <formula1>"Owner plan,Founder top-up,Other"</formula1>
    </dataValidation>
    <dataValidation sqref="E2:E1000" showDropDown="0" showInputMessage="0" showErrorMessage="0" allowBlank="0" type="list">
      <formula1>"499,999,1499"</formula1>
    </dataValidation>
    <dataValidation sqref="I2:I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4" customWidth="1" min="4" max="4"/>
    <col width="12" customWidth="1" min="5" max="5"/>
    <col width="20" customWidth="1" min="6" max="6"/>
    <col width="20" customWidth="1" min="7" max="7"/>
    <col width="16" customWidth="1" min="8" max="8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What</t>
        </is>
      </c>
      <c r="D1" s="1" t="inlineStr">
        <is>
          <t>Bucket</t>
        </is>
      </c>
      <c r="E1" s="1" t="inlineStr">
        <is>
          <t>Amount (₹)</t>
        </is>
      </c>
      <c r="F1" s="1" t="inlineStr">
        <is>
          <t>Paid to</t>
        </is>
      </c>
      <c r="G1" s="1" t="inlineStr">
        <is>
          <t>UPI ref / bill no.</t>
        </is>
      </c>
      <c r="H1" s="1" t="inlineStr">
        <is>
          <t>Receipt saved? (Y/N)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2">
    <dataValidation sqref="D2:D1000" showDropDown="0" showInputMessage="0" showErrorMessage="0" allowBlank="0" type="list">
      <formula1>"Tech,AI tokens,Rewards,Commission,Print,Travel,Ads,Reserve,Other"</formula1>
    </dataValidation>
    <dataValidation sqref="H2:H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6" customWidth="1" min="4" max="4"/>
    <col width="12" customWidth="1" min="5" max="5"/>
    <col width="22" customWidth="1" min="6" max="6"/>
    <col width="14" customWidth="1" min="7" max="7"/>
    <col width="30" customWidth="1" min="8" max="8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Tenant (last 4 digits of phone)</t>
        </is>
      </c>
      <c r="D1" s="1" t="inlineStr">
        <is>
          <t>Type</t>
        </is>
      </c>
      <c r="E1" s="1" t="inlineStr">
        <is>
          <t>Amount (₹)</t>
        </is>
      </c>
      <c r="F1" s="1" t="inlineStr">
        <is>
          <t>Paid how (UPI / invoice credit)</t>
        </is>
      </c>
      <c r="G1" s="1" t="inlineStr">
        <is>
          <t>Waitlisted? (Y/N)</t>
        </is>
      </c>
      <c r="H1" s="1" t="inlineStr">
        <is>
          <t>Checks done (phone, UPI, owner-confirmed)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1">
    <dataValidation sqref="D2:D1000" showDropDown="0" showInputMessage="0" showErrorMessage="0" allowBlank="0" type="list">
      <formula1>"Referral,Next-stay discount"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6" customWidth="1" min="9" max="9"/>
  </cols>
  <sheetData>
    <row r="1">
      <c r="A1" s="1" t="inlineStr">
        <is>
          <t>Month (YYYY-MM)</t>
        </is>
      </c>
      <c r="B1" s="1" t="inlineStr">
        <is>
          <t>Partner</t>
        </is>
      </c>
      <c r="C1" s="1" t="inlineStr">
        <is>
          <t>Paid owners</t>
        </is>
      </c>
      <c r="D1" s="1" t="inlineStr">
        <is>
          <t>Holds (valid)</t>
        </is>
      </c>
      <c r="E1" s="1" t="inlineStr">
        <is>
          <t>Bonus (₹)</t>
        </is>
      </c>
      <c r="F1" s="1" t="inlineStr">
        <is>
          <t>Owed (₹)</t>
        </is>
      </c>
      <c r="G1" s="1" t="inlineStr">
        <is>
          <t>Paid on</t>
        </is>
      </c>
      <c r="H1" s="1" t="inlineStr">
        <is>
          <t>UPI ref</t>
        </is>
      </c>
      <c r="I1" s="1" t="inlineStr">
        <is>
          <t>Agreement signed? (Y/N)</t>
        </is>
      </c>
    </row>
    <row r="2">
      <c r="F2">
        <f>IF(B2="","",C2*200+MIN(D2,100)*20+E2)</f>
        <v/>
      </c>
    </row>
    <row r="3">
      <c r="F3">
        <f>IF(B3="","",C3*200+MIN(D3,100)*20+E3)</f>
        <v/>
      </c>
    </row>
    <row r="4">
      <c r="F4">
        <f>IF(B4="","",C4*200+MIN(D4,100)*20+E4)</f>
        <v/>
      </c>
    </row>
    <row r="5">
      <c r="F5">
        <f>IF(B5="","",C5*200+MIN(D5,100)*20+E5)</f>
        <v/>
      </c>
    </row>
    <row r="6">
      <c r="F6">
        <f>IF(B6="","",C6*200+MIN(D6,100)*20+E6)</f>
        <v/>
      </c>
    </row>
    <row r="7">
      <c r="F7">
        <f>IF(B7="","",C7*200+MIN(D7,100)*20+E7)</f>
        <v/>
      </c>
    </row>
    <row r="8">
      <c r="F8">
        <f>IF(B8="","",C8*200+MIN(D8,100)*20+E8)</f>
        <v/>
      </c>
    </row>
    <row r="9">
      <c r="F9">
        <f>IF(B9="","",C9*200+MIN(D9,100)*20+E9)</f>
        <v/>
      </c>
    </row>
    <row r="10">
      <c r="F10">
        <f>IF(B10="","",C10*200+MIN(D10,100)*20+E10)</f>
        <v/>
      </c>
    </row>
    <row r="11">
      <c r="F11">
        <f>IF(B11="","",C11*200+MIN(D11,100)*20+E11)</f>
        <v/>
      </c>
    </row>
    <row r="12">
      <c r="F12">
        <f>IF(B12="","",C12*200+MIN(D12,100)*20+E12)</f>
        <v/>
      </c>
    </row>
    <row r="13">
      <c r="F13">
        <f>IF(B13="","",C13*200+MIN(D13,100)*20+E13)</f>
        <v/>
      </c>
    </row>
    <row r="14">
      <c r="F14">
        <f>IF(B14="","",C14*200+MIN(D14,100)*20+E14)</f>
        <v/>
      </c>
    </row>
    <row r="15">
      <c r="F15">
        <f>IF(B15="","",C15*200+MIN(D15,100)*20+E15)</f>
        <v/>
      </c>
    </row>
    <row r="16">
      <c r="F16">
        <f>IF(B16="","",C16*200+MIN(D16,100)*20+E16)</f>
        <v/>
      </c>
    </row>
    <row r="17">
      <c r="F17">
        <f>IF(B17="","",C17*200+MIN(D17,100)*20+E17)</f>
        <v/>
      </c>
    </row>
    <row r="18">
      <c r="F18">
        <f>IF(B18="","",C18*200+MIN(D18,100)*20+E18)</f>
        <v/>
      </c>
    </row>
    <row r="19">
      <c r="F19">
        <f>IF(B19="","",C19*200+MIN(D19,100)*20+E19)</f>
        <v/>
      </c>
    </row>
    <row r="20">
      <c r="F20">
        <f>IF(B20="","",C20*200+MIN(D20,100)*20+E20)</f>
        <v/>
      </c>
    </row>
    <row r="21">
      <c r="F21">
        <f>IF(B21="","",C21*200+MIN(D21,100)*20+E21)</f>
        <v/>
      </c>
    </row>
    <row r="22">
      <c r="F22">
        <f>IF(B22="","",C22*200+MIN(D22,100)*20+E22)</f>
        <v/>
      </c>
    </row>
    <row r="23">
      <c r="F23">
        <f>IF(B23="","",C23*200+MIN(D23,100)*20+E23)</f>
        <v/>
      </c>
    </row>
    <row r="24">
      <c r="F24">
        <f>IF(B24="","",C24*200+MIN(D24,100)*20+E24)</f>
        <v/>
      </c>
    </row>
    <row r="25">
      <c r="F25">
        <f>IF(B25="","",C25*200+MIN(D25,100)*20+E25)</f>
        <v/>
      </c>
    </row>
    <row r="26">
      <c r="F26">
        <f>IF(B26="","",C26*200+MIN(D26,100)*20+E26)</f>
        <v/>
      </c>
    </row>
    <row r="27">
      <c r="F27">
        <f>IF(B27="","",C27*200+MIN(D27,100)*20+E27)</f>
        <v/>
      </c>
    </row>
    <row r="28">
      <c r="F28">
        <f>IF(B28="","",C28*200+MIN(D28,100)*20+E28)</f>
        <v/>
      </c>
    </row>
    <row r="29">
      <c r="F29">
        <f>IF(B29="","",C29*200+MIN(D29,100)*20+E29)</f>
        <v/>
      </c>
    </row>
    <row r="30">
      <c r="F30">
        <f>IF(B30="","",C30*200+MIN(D30,100)*20+E30)</f>
        <v/>
      </c>
    </row>
    <row r="31">
      <c r="F31">
        <f>IF(B31="","",C31*200+MIN(D31,100)*20+E31)</f>
        <v/>
      </c>
    </row>
    <row r="32">
      <c r="F32">
        <f>IF(B32="","",C32*200+MIN(D32,100)*20+E32)</f>
        <v/>
      </c>
    </row>
    <row r="33">
      <c r="F33">
        <f>IF(B33="","",C33*200+MIN(D33,100)*20+E33)</f>
        <v/>
      </c>
    </row>
    <row r="34">
      <c r="F34">
        <f>IF(B34="","",C34*200+MIN(D34,100)*20+E34)</f>
        <v/>
      </c>
    </row>
    <row r="35">
      <c r="F35">
        <f>IF(B35="","",C35*200+MIN(D35,100)*20+E35)</f>
        <v/>
      </c>
    </row>
    <row r="36">
      <c r="F36">
        <f>IF(B36="","",C36*200+MIN(D36,100)*20+E36)</f>
        <v/>
      </c>
    </row>
    <row r="37">
      <c r="F37">
        <f>IF(B37="","",C37*200+MIN(D37,100)*20+E37)</f>
        <v/>
      </c>
    </row>
    <row r="38">
      <c r="F38">
        <f>IF(B38="","",C38*200+MIN(D38,100)*20+E38)</f>
        <v/>
      </c>
    </row>
    <row r="39">
      <c r="F39">
        <f>IF(B39="","",C39*200+MIN(D39,100)*20+E39)</f>
        <v/>
      </c>
    </row>
    <row r="40">
      <c r="F40">
        <f>IF(B40="","",C40*200+MIN(D40,100)*20+E40)</f>
        <v/>
      </c>
    </row>
    <row r="41">
      <c r="F41">
        <f>IF(B41="","",C41*200+MIN(D41,100)*20+E41)</f>
        <v/>
      </c>
    </row>
    <row r="42">
      <c r="F42">
        <f>IF(B42="","",C42*200+MIN(D42,100)*20+E42)</f>
        <v/>
      </c>
    </row>
    <row r="43">
      <c r="F43">
        <f>IF(B43="","",C43*200+MIN(D43,100)*20+E43)</f>
        <v/>
      </c>
    </row>
    <row r="44">
      <c r="F44">
        <f>IF(B44="","",C44*200+MIN(D44,100)*20+E44)</f>
        <v/>
      </c>
    </row>
    <row r="45">
      <c r="F45">
        <f>IF(B45="","",C45*200+MIN(D45,100)*20+E45)</f>
        <v/>
      </c>
    </row>
    <row r="46">
      <c r="F46">
        <f>IF(B46="","",C46*200+MIN(D46,100)*20+E46)</f>
        <v/>
      </c>
    </row>
    <row r="47">
      <c r="F47">
        <f>IF(B47="","",C47*200+MIN(D47,100)*20+E47)</f>
        <v/>
      </c>
    </row>
    <row r="48">
      <c r="F48">
        <f>IF(B48="","",C48*200+MIN(D48,100)*20+E48)</f>
        <v/>
      </c>
    </row>
    <row r="49">
      <c r="F49">
        <f>IF(B49="","",C49*200+MIN(D49,100)*20+E49)</f>
        <v/>
      </c>
    </row>
    <row r="50">
      <c r="F50">
        <f>IF(B50="","",C50*200+MIN(D50,100)*20+E50)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3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>
      <c r="A1" s="1" t="inlineStr">
        <is>
          <t>Month</t>
        </is>
      </c>
      <c r="B1" s="1" t="inlineStr">
        <is>
          <t>Owner income</t>
        </is>
      </c>
      <c r="C1" s="1" t="inlineStr">
        <is>
          <t>Money out</t>
        </is>
      </c>
      <c r="D1" s="1" t="inlineStr">
        <is>
          <t>Profit / loss</t>
        </is>
      </c>
      <c r="E1" s="1" t="inlineStr">
        <is>
          <t>Paid hostels</t>
        </is>
      </c>
      <c r="F1" s="1" t="inlineStr">
        <is>
          <t>Tech</t>
        </is>
      </c>
      <c r="G1" s="1" t="inlineStr">
        <is>
          <t>AI tokens</t>
        </is>
      </c>
      <c r="H1" s="1" t="inlineStr">
        <is>
          <t>Rewards</t>
        </is>
      </c>
      <c r="I1" s="1" t="inlineStr">
        <is>
          <t>Commission</t>
        </is>
      </c>
      <c r="J1" s="1" t="inlineStr">
        <is>
          <t>Print</t>
        </is>
      </c>
      <c r="K1" s="1" t="inlineStr">
        <is>
          <t>Travel</t>
        </is>
      </c>
      <c r="L1" s="1" t="inlineStr">
        <is>
          <t>Ads</t>
        </is>
      </c>
      <c r="M1" s="1" t="inlineStr">
        <is>
          <t>Rewards over cap?</t>
        </is>
      </c>
      <c r="N1" s="1" t="inlineStr">
        <is>
          <t>Bank balance (all in − all out, to date)</t>
        </is>
      </c>
    </row>
    <row r="2">
      <c r="A2" t="inlineStr">
        <is>
          <t>2026-10</t>
        </is>
      </c>
      <c r="B2">
        <f>SUMIFS('Money in'!F:F,'Money in'!B:B,A2,'Money in'!C:C,"Owner plan")</f>
        <v/>
      </c>
      <c r="C2">
        <f>SUMIF('Money out'!B:B,A2,'Money out'!E:E)</f>
        <v/>
      </c>
      <c r="D2">
        <f>B2-C2</f>
        <v/>
      </c>
      <c r="E2">
        <f>COUNTIFS('Money in'!B:B,A2,'Money in'!C:C,"Owner plan")</f>
        <v/>
      </c>
      <c r="F2">
        <f>SUMIFS('Money out'!E:E,'Money out'!B:B,A2,'Money out'!D:D,"Tech")</f>
        <v/>
      </c>
      <c r="G2">
        <f>SUMIFS('Money out'!E:E,'Money out'!B:B,A2,'Money out'!D:D,"AI tokens")</f>
        <v/>
      </c>
      <c r="H2">
        <f>SUMIFS('Money out'!E:E,'Money out'!B:B,A2,'Money out'!D:D,"Rewards")</f>
        <v/>
      </c>
      <c r="I2">
        <f>SUMIFS('Money out'!E:E,'Money out'!B:B,A2,'Money out'!D:D,"Commission")</f>
        <v/>
      </c>
      <c r="J2">
        <f>SUMIFS('Money out'!E:E,'Money out'!B:B,A2,'Money out'!D:D,"Print")</f>
        <v/>
      </c>
      <c r="K2">
        <f>SUMIFS('Money out'!E:E,'Money out'!B:B,A2,'Money out'!D:D,"Travel")</f>
        <v/>
      </c>
      <c r="L2">
        <f>SUMIFS('Money out'!E:E,'Money out'!B:B,A2,'Money out'!D:D,"Ads")</f>
        <v/>
      </c>
      <c r="M2">
        <f>IF(H2&gt;Budget!B4,"OVER","ok")</f>
        <v/>
      </c>
      <c r="N2">
        <f>SUMIF('Money in'!B:B,A2,'Money in'!F:F)-C2</f>
        <v/>
      </c>
    </row>
    <row r="3">
      <c r="A3" t="inlineStr">
        <is>
          <t>2026-11</t>
        </is>
      </c>
      <c r="B3">
        <f>SUMIFS('Money in'!F:F,'Money in'!B:B,A3,'Money in'!C:C,"Owner plan")</f>
        <v/>
      </c>
      <c r="C3">
        <f>SUMIF('Money out'!B:B,A3,'Money out'!E:E)</f>
        <v/>
      </c>
      <c r="D3">
        <f>B3-C3</f>
        <v/>
      </c>
      <c r="E3">
        <f>COUNTIFS('Money in'!B:B,A3,'Money in'!C:C,"Owner plan")</f>
        <v/>
      </c>
      <c r="F3">
        <f>SUMIFS('Money out'!E:E,'Money out'!B:B,A3,'Money out'!D:D,"Tech")</f>
        <v/>
      </c>
      <c r="G3">
        <f>SUMIFS('Money out'!E:E,'Money out'!B:B,A3,'Money out'!D:D,"AI tokens")</f>
        <v/>
      </c>
      <c r="H3">
        <f>SUMIFS('Money out'!E:E,'Money out'!B:B,A3,'Money out'!D:D,"Rewards")</f>
        <v/>
      </c>
      <c r="I3">
        <f>SUMIFS('Money out'!E:E,'Money out'!B:B,A3,'Money out'!D:D,"Commission")</f>
        <v/>
      </c>
      <c r="J3">
        <f>SUMIFS('Money out'!E:E,'Money out'!B:B,A3,'Money out'!D:D,"Print")</f>
        <v/>
      </c>
      <c r="K3">
        <f>SUMIFS('Money out'!E:E,'Money out'!B:B,A3,'Money out'!D:D,"Travel")</f>
        <v/>
      </c>
      <c r="L3">
        <f>SUMIFS('Money out'!E:E,'Money out'!B:B,A3,'Money out'!D:D,"Ads")</f>
        <v/>
      </c>
      <c r="M3">
        <f>IF(H3&gt;Budget!B4,"OVER","ok")</f>
        <v/>
      </c>
      <c r="N3">
        <f>N2+SUMIF('Money in'!B:B,A3,'Money in'!F:F)-C3</f>
        <v/>
      </c>
    </row>
    <row r="4">
      <c r="A4" t="inlineStr">
        <is>
          <t>2026-12</t>
        </is>
      </c>
      <c r="B4">
        <f>SUMIFS('Money in'!F:F,'Money in'!B:B,A4,'Money in'!C:C,"Owner plan")</f>
        <v/>
      </c>
      <c r="C4">
        <f>SUMIF('Money out'!B:B,A4,'Money out'!E:E)</f>
        <v/>
      </c>
      <c r="D4">
        <f>B4-C4</f>
        <v/>
      </c>
      <c r="E4">
        <f>COUNTIFS('Money in'!B:B,A4,'Money in'!C:C,"Owner plan")</f>
        <v/>
      </c>
      <c r="F4">
        <f>SUMIFS('Money out'!E:E,'Money out'!B:B,A4,'Money out'!D:D,"Tech")</f>
        <v/>
      </c>
      <c r="G4">
        <f>SUMIFS('Money out'!E:E,'Money out'!B:B,A4,'Money out'!D:D,"AI tokens")</f>
        <v/>
      </c>
      <c r="H4">
        <f>SUMIFS('Money out'!E:E,'Money out'!B:B,A4,'Money out'!D:D,"Rewards")</f>
        <v/>
      </c>
      <c r="I4">
        <f>SUMIFS('Money out'!E:E,'Money out'!B:B,A4,'Money out'!D:D,"Commission")</f>
        <v/>
      </c>
      <c r="J4">
        <f>SUMIFS('Money out'!E:E,'Money out'!B:B,A4,'Money out'!D:D,"Print")</f>
        <v/>
      </c>
      <c r="K4">
        <f>SUMIFS('Money out'!E:E,'Money out'!B:B,A4,'Money out'!D:D,"Travel")</f>
        <v/>
      </c>
      <c r="L4">
        <f>SUMIFS('Money out'!E:E,'Money out'!B:B,A4,'Money out'!D:D,"Ads")</f>
        <v/>
      </c>
      <c r="M4">
        <f>IF(H4&gt;Budget!B4,"OVER","ok")</f>
        <v/>
      </c>
      <c r="N4">
        <f>N3+SUMIF('Money in'!B:B,A4,'Money in'!F:F)-C4</f>
        <v/>
      </c>
    </row>
    <row r="5">
      <c r="A5" t="inlineStr">
        <is>
          <t>2027-01</t>
        </is>
      </c>
      <c r="B5">
        <f>SUMIFS('Money in'!F:F,'Money in'!B:B,A5,'Money in'!C:C,"Owner plan")</f>
        <v/>
      </c>
      <c r="C5">
        <f>SUMIF('Money out'!B:B,A5,'Money out'!E:E)</f>
        <v/>
      </c>
      <c r="D5">
        <f>B5-C5</f>
        <v/>
      </c>
      <c r="E5">
        <f>COUNTIFS('Money in'!B:B,A5,'Money in'!C:C,"Owner plan")</f>
        <v/>
      </c>
      <c r="F5">
        <f>SUMIFS('Money out'!E:E,'Money out'!B:B,A5,'Money out'!D:D,"Tech")</f>
        <v/>
      </c>
      <c r="G5">
        <f>SUMIFS('Money out'!E:E,'Money out'!B:B,A5,'Money out'!D:D,"AI tokens")</f>
        <v/>
      </c>
      <c r="H5">
        <f>SUMIFS('Money out'!E:E,'Money out'!B:B,A5,'Money out'!D:D,"Rewards")</f>
        <v/>
      </c>
      <c r="I5">
        <f>SUMIFS('Money out'!E:E,'Money out'!B:B,A5,'Money out'!D:D,"Commission")</f>
        <v/>
      </c>
      <c r="J5">
        <f>SUMIFS('Money out'!E:E,'Money out'!B:B,A5,'Money out'!D:D,"Print")</f>
        <v/>
      </c>
      <c r="K5">
        <f>SUMIFS('Money out'!E:E,'Money out'!B:B,A5,'Money out'!D:D,"Travel")</f>
        <v/>
      </c>
      <c r="L5">
        <f>SUMIFS('Money out'!E:E,'Money out'!B:B,A5,'Money out'!D:D,"Ads")</f>
        <v/>
      </c>
      <c r="M5">
        <f>IF(H5&gt;Budget!B4,"OVER","ok")</f>
        <v/>
      </c>
      <c r="N5">
        <f>N4+SUMIF('Money in'!B:B,A5,'Money in'!F:F)-C5</f>
        <v/>
      </c>
    </row>
    <row r="6">
      <c r="A6" t="inlineStr">
        <is>
          <t>2027-02</t>
        </is>
      </c>
      <c r="B6">
        <f>SUMIFS('Money in'!F:F,'Money in'!B:B,A6,'Money in'!C:C,"Owner plan")</f>
        <v/>
      </c>
      <c r="C6">
        <f>SUMIF('Money out'!B:B,A6,'Money out'!E:E)</f>
        <v/>
      </c>
      <c r="D6">
        <f>B6-C6</f>
        <v/>
      </c>
      <c r="E6">
        <f>COUNTIFS('Money in'!B:B,A6,'Money in'!C:C,"Owner plan")</f>
        <v/>
      </c>
      <c r="F6">
        <f>SUMIFS('Money out'!E:E,'Money out'!B:B,A6,'Money out'!D:D,"Tech")</f>
        <v/>
      </c>
      <c r="G6">
        <f>SUMIFS('Money out'!E:E,'Money out'!B:B,A6,'Money out'!D:D,"AI tokens")</f>
        <v/>
      </c>
      <c r="H6">
        <f>SUMIFS('Money out'!E:E,'Money out'!B:B,A6,'Money out'!D:D,"Rewards")</f>
        <v/>
      </c>
      <c r="I6">
        <f>SUMIFS('Money out'!E:E,'Money out'!B:B,A6,'Money out'!D:D,"Commission")</f>
        <v/>
      </c>
      <c r="J6">
        <f>SUMIFS('Money out'!E:E,'Money out'!B:B,A6,'Money out'!D:D,"Print")</f>
        <v/>
      </c>
      <c r="K6">
        <f>SUMIFS('Money out'!E:E,'Money out'!B:B,A6,'Money out'!D:D,"Travel")</f>
        <v/>
      </c>
      <c r="L6">
        <f>SUMIFS('Money out'!E:E,'Money out'!B:B,A6,'Money out'!D:D,"Ads")</f>
        <v/>
      </c>
      <c r="M6">
        <f>IF(H6&gt;Budget!B4,"OVER","ok")</f>
        <v/>
      </c>
      <c r="N6">
        <f>N5+SUMIF('Money in'!B:B,A6,'Money in'!F:F)-C6</f>
        <v/>
      </c>
    </row>
    <row r="7">
      <c r="A7" t="inlineStr">
        <is>
          <t>2027-03</t>
        </is>
      </c>
      <c r="B7">
        <f>SUMIFS('Money in'!F:F,'Money in'!B:B,A7,'Money in'!C:C,"Owner plan")</f>
        <v/>
      </c>
      <c r="C7">
        <f>SUMIF('Money out'!B:B,A7,'Money out'!E:E)</f>
        <v/>
      </c>
      <c r="D7">
        <f>B7-C7</f>
        <v/>
      </c>
      <c r="E7">
        <f>COUNTIFS('Money in'!B:B,A7,'Money in'!C:C,"Owner plan")</f>
        <v/>
      </c>
      <c r="F7">
        <f>SUMIFS('Money out'!E:E,'Money out'!B:B,A7,'Money out'!D:D,"Tech")</f>
        <v/>
      </c>
      <c r="G7">
        <f>SUMIFS('Money out'!E:E,'Money out'!B:B,A7,'Money out'!D:D,"AI tokens")</f>
        <v/>
      </c>
      <c r="H7">
        <f>SUMIFS('Money out'!E:E,'Money out'!B:B,A7,'Money out'!D:D,"Rewards")</f>
        <v/>
      </c>
      <c r="I7">
        <f>SUMIFS('Money out'!E:E,'Money out'!B:B,A7,'Money out'!D:D,"Commission")</f>
        <v/>
      </c>
      <c r="J7">
        <f>SUMIFS('Money out'!E:E,'Money out'!B:B,A7,'Money out'!D:D,"Print")</f>
        <v/>
      </c>
      <c r="K7">
        <f>SUMIFS('Money out'!E:E,'Money out'!B:B,A7,'Money out'!D:D,"Travel")</f>
        <v/>
      </c>
      <c r="L7">
        <f>SUMIFS('Money out'!E:E,'Money out'!B:B,A7,'Money out'!D:D,"Ads")</f>
        <v/>
      </c>
      <c r="M7">
        <f>IF(H7&gt;Budget!B4,"OVER","ok")</f>
        <v/>
      </c>
      <c r="N7">
        <f>N6+SUMIF('Money in'!B:B,A7,'Money in'!F:F)-C7</f>
        <v/>
      </c>
    </row>
    <row r="8">
      <c r="A8" t="inlineStr">
        <is>
          <t>2027-04</t>
        </is>
      </c>
      <c r="B8">
        <f>SUMIFS('Money in'!F:F,'Money in'!B:B,A8,'Money in'!C:C,"Owner plan")</f>
        <v/>
      </c>
      <c r="C8">
        <f>SUMIF('Money out'!B:B,A8,'Money out'!E:E)</f>
        <v/>
      </c>
      <c r="D8">
        <f>B8-C8</f>
        <v/>
      </c>
      <c r="E8">
        <f>COUNTIFS('Money in'!B:B,A8,'Money in'!C:C,"Owner plan")</f>
        <v/>
      </c>
      <c r="F8">
        <f>SUMIFS('Money out'!E:E,'Money out'!B:B,A8,'Money out'!D:D,"Tech")</f>
        <v/>
      </c>
      <c r="G8">
        <f>SUMIFS('Money out'!E:E,'Money out'!B:B,A8,'Money out'!D:D,"AI tokens")</f>
        <v/>
      </c>
      <c r="H8">
        <f>SUMIFS('Money out'!E:E,'Money out'!B:B,A8,'Money out'!D:D,"Rewards")</f>
        <v/>
      </c>
      <c r="I8">
        <f>SUMIFS('Money out'!E:E,'Money out'!B:B,A8,'Money out'!D:D,"Commission")</f>
        <v/>
      </c>
      <c r="J8">
        <f>SUMIFS('Money out'!E:E,'Money out'!B:B,A8,'Money out'!D:D,"Print")</f>
        <v/>
      </c>
      <c r="K8">
        <f>SUMIFS('Money out'!E:E,'Money out'!B:B,A8,'Money out'!D:D,"Travel")</f>
        <v/>
      </c>
      <c r="L8">
        <f>SUMIFS('Money out'!E:E,'Money out'!B:B,A8,'Money out'!D:D,"Ads")</f>
        <v/>
      </c>
      <c r="M8">
        <f>IF(H8&gt;Budget!B4,"OVER","ok")</f>
        <v/>
      </c>
      <c r="N8">
        <f>N7+SUMIF('Money in'!B:B,A8,'Money in'!F:F)-C8</f>
        <v/>
      </c>
    </row>
    <row r="9">
      <c r="A9" t="inlineStr">
        <is>
          <t>2027-05</t>
        </is>
      </c>
      <c r="B9">
        <f>SUMIFS('Money in'!F:F,'Money in'!B:B,A9,'Money in'!C:C,"Owner plan")</f>
        <v/>
      </c>
      <c r="C9">
        <f>SUMIF('Money out'!B:B,A9,'Money out'!E:E)</f>
        <v/>
      </c>
      <c r="D9">
        <f>B9-C9</f>
        <v/>
      </c>
      <c r="E9">
        <f>COUNTIFS('Money in'!B:B,A9,'Money in'!C:C,"Owner plan")</f>
        <v/>
      </c>
      <c r="F9">
        <f>SUMIFS('Money out'!E:E,'Money out'!B:B,A9,'Money out'!D:D,"Tech")</f>
        <v/>
      </c>
      <c r="G9">
        <f>SUMIFS('Money out'!E:E,'Money out'!B:B,A9,'Money out'!D:D,"AI tokens")</f>
        <v/>
      </c>
      <c r="H9">
        <f>SUMIFS('Money out'!E:E,'Money out'!B:B,A9,'Money out'!D:D,"Rewards")</f>
        <v/>
      </c>
      <c r="I9">
        <f>SUMIFS('Money out'!E:E,'Money out'!B:B,A9,'Money out'!D:D,"Commission")</f>
        <v/>
      </c>
      <c r="J9">
        <f>SUMIFS('Money out'!E:E,'Money out'!B:B,A9,'Money out'!D:D,"Print")</f>
        <v/>
      </c>
      <c r="K9">
        <f>SUMIFS('Money out'!E:E,'Money out'!B:B,A9,'Money out'!D:D,"Travel")</f>
        <v/>
      </c>
      <c r="L9">
        <f>SUMIFS('Money out'!E:E,'Money out'!B:B,A9,'Money out'!D:D,"Ads")</f>
        <v/>
      </c>
      <c r="M9">
        <f>IF(H9&gt;Budget!B4,"OVER","ok")</f>
        <v/>
      </c>
      <c r="N9">
        <f>N8+SUMIF('Money in'!B:B,A9,'Money in'!F:F)-C9</f>
        <v/>
      </c>
    </row>
    <row r="10">
      <c r="A10" t="inlineStr">
        <is>
          <t>2027-06</t>
        </is>
      </c>
      <c r="B10">
        <f>SUMIFS('Money in'!F:F,'Money in'!B:B,A10,'Money in'!C:C,"Owner plan")</f>
        <v/>
      </c>
      <c r="C10">
        <f>SUMIF('Money out'!B:B,A10,'Money out'!E:E)</f>
        <v/>
      </c>
      <c r="D10">
        <f>B10-C10</f>
        <v/>
      </c>
      <c r="E10">
        <f>COUNTIFS('Money in'!B:B,A10,'Money in'!C:C,"Owner plan")</f>
        <v/>
      </c>
      <c r="F10">
        <f>SUMIFS('Money out'!E:E,'Money out'!B:B,A10,'Money out'!D:D,"Tech")</f>
        <v/>
      </c>
      <c r="G10">
        <f>SUMIFS('Money out'!E:E,'Money out'!B:B,A10,'Money out'!D:D,"AI tokens")</f>
        <v/>
      </c>
      <c r="H10">
        <f>SUMIFS('Money out'!E:E,'Money out'!B:B,A10,'Money out'!D:D,"Rewards")</f>
        <v/>
      </c>
      <c r="I10">
        <f>SUMIFS('Money out'!E:E,'Money out'!B:B,A10,'Money out'!D:D,"Commission")</f>
        <v/>
      </c>
      <c r="J10">
        <f>SUMIFS('Money out'!E:E,'Money out'!B:B,A10,'Money out'!D:D,"Print")</f>
        <v/>
      </c>
      <c r="K10">
        <f>SUMIFS('Money out'!E:E,'Money out'!B:B,A10,'Money out'!D:D,"Travel")</f>
        <v/>
      </c>
      <c r="L10">
        <f>SUMIFS('Money out'!E:E,'Money out'!B:B,A10,'Money out'!D:D,"Ads")</f>
        <v/>
      </c>
      <c r="M10">
        <f>IF(H10&gt;Budget!B4,"OVER","ok")</f>
        <v/>
      </c>
      <c r="N10">
        <f>N9+SUMIF('Money in'!B:B,A10,'Money in'!F:F)-C10</f>
        <v/>
      </c>
    </row>
    <row r="11">
      <c r="A11" t="inlineStr">
        <is>
          <t>2027-07</t>
        </is>
      </c>
      <c r="B11">
        <f>SUMIFS('Money in'!F:F,'Money in'!B:B,A11,'Money in'!C:C,"Owner plan")</f>
        <v/>
      </c>
      <c r="C11">
        <f>SUMIF('Money out'!B:B,A11,'Money out'!E:E)</f>
        <v/>
      </c>
      <c r="D11">
        <f>B11-C11</f>
        <v/>
      </c>
      <c r="E11">
        <f>COUNTIFS('Money in'!B:B,A11,'Money in'!C:C,"Owner plan")</f>
        <v/>
      </c>
      <c r="F11">
        <f>SUMIFS('Money out'!E:E,'Money out'!B:B,A11,'Money out'!D:D,"Tech")</f>
        <v/>
      </c>
      <c r="G11">
        <f>SUMIFS('Money out'!E:E,'Money out'!B:B,A11,'Money out'!D:D,"AI tokens")</f>
        <v/>
      </c>
      <c r="H11">
        <f>SUMIFS('Money out'!E:E,'Money out'!B:B,A11,'Money out'!D:D,"Rewards")</f>
        <v/>
      </c>
      <c r="I11">
        <f>SUMIFS('Money out'!E:E,'Money out'!B:B,A11,'Money out'!D:D,"Commission")</f>
        <v/>
      </c>
      <c r="J11">
        <f>SUMIFS('Money out'!E:E,'Money out'!B:B,A11,'Money out'!D:D,"Print")</f>
        <v/>
      </c>
      <c r="K11">
        <f>SUMIFS('Money out'!E:E,'Money out'!B:B,A11,'Money out'!D:D,"Travel")</f>
        <v/>
      </c>
      <c r="L11">
        <f>SUMIFS('Money out'!E:E,'Money out'!B:B,A11,'Money out'!D:D,"Ads")</f>
        <v/>
      </c>
      <c r="M11">
        <f>IF(H11&gt;Budget!B4,"OVER","ok")</f>
        <v/>
      </c>
      <c r="N11">
        <f>N10+SUMIF('Money in'!B:B,A11,'Money in'!F:F)-C11</f>
        <v/>
      </c>
    </row>
    <row r="12">
      <c r="A12" t="inlineStr">
        <is>
          <t>2027-08</t>
        </is>
      </c>
      <c r="B12">
        <f>SUMIFS('Money in'!F:F,'Money in'!B:B,A12,'Money in'!C:C,"Owner plan")</f>
        <v/>
      </c>
      <c r="C12">
        <f>SUMIF('Money out'!B:B,A12,'Money out'!E:E)</f>
        <v/>
      </c>
      <c r="D12">
        <f>B12-C12</f>
        <v/>
      </c>
      <c r="E12">
        <f>COUNTIFS('Money in'!B:B,A12,'Money in'!C:C,"Owner plan")</f>
        <v/>
      </c>
      <c r="F12">
        <f>SUMIFS('Money out'!E:E,'Money out'!B:B,A12,'Money out'!D:D,"Tech")</f>
        <v/>
      </c>
      <c r="G12">
        <f>SUMIFS('Money out'!E:E,'Money out'!B:B,A12,'Money out'!D:D,"AI tokens")</f>
        <v/>
      </c>
      <c r="H12">
        <f>SUMIFS('Money out'!E:E,'Money out'!B:B,A12,'Money out'!D:D,"Rewards")</f>
        <v/>
      </c>
      <c r="I12">
        <f>SUMIFS('Money out'!E:E,'Money out'!B:B,A12,'Money out'!D:D,"Commission")</f>
        <v/>
      </c>
      <c r="J12">
        <f>SUMIFS('Money out'!E:E,'Money out'!B:B,A12,'Money out'!D:D,"Print")</f>
        <v/>
      </c>
      <c r="K12">
        <f>SUMIFS('Money out'!E:E,'Money out'!B:B,A12,'Money out'!D:D,"Travel")</f>
        <v/>
      </c>
      <c r="L12">
        <f>SUMIFS('Money out'!E:E,'Money out'!B:B,A12,'Money out'!D:D,"Ads")</f>
        <v/>
      </c>
      <c r="M12">
        <f>IF(H12&gt;Budget!B4,"OVER","ok")</f>
        <v/>
      </c>
      <c r="N12">
        <f>N11+SUMIF('Money in'!B:B,A12,'Money in'!F:F)-C12</f>
        <v/>
      </c>
    </row>
    <row r="13">
      <c r="A13" t="inlineStr">
        <is>
          <t>2027-09</t>
        </is>
      </c>
      <c r="B13">
        <f>SUMIFS('Money in'!F:F,'Money in'!B:B,A13,'Money in'!C:C,"Owner plan")</f>
        <v/>
      </c>
      <c r="C13">
        <f>SUMIF('Money out'!B:B,A13,'Money out'!E:E)</f>
        <v/>
      </c>
      <c r="D13">
        <f>B13-C13</f>
        <v/>
      </c>
      <c r="E13">
        <f>COUNTIFS('Money in'!B:B,A13,'Money in'!C:C,"Owner plan")</f>
        <v/>
      </c>
      <c r="F13">
        <f>SUMIFS('Money out'!E:E,'Money out'!B:B,A13,'Money out'!D:D,"Tech")</f>
        <v/>
      </c>
      <c r="G13">
        <f>SUMIFS('Money out'!E:E,'Money out'!B:B,A13,'Money out'!D:D,"AI tokens")</f>
        <v/>
      </c>
      <c r="H13">
        <f>SUMIFS('Money out'!E:E,'Money out'!B:B,A13,'Money out'!D:D,"Rewards")</f>
        <v/>
      </c>
      <c r="I13">
        <f>SUMIFS('Money out'!E:E,'Money out'!B:B,A13,'Money out'!D:D,"Commission")</f>
        <v/>
      </c>
      <c r="J13">
        <f>SUMIFS('Money out'!E:E,'Money out'!B:B,A13,'Money out'!D:D,"Print")</f>
        <v/>
      </c>
      <c r="K13">
        <f>SUMIFS('Money out'!E:E,'Money out'!B:B,A13,'Money out'!D:D,"Travel")</f>
        <v/>
      </c>
      <c r="L13">
        <f>SUMIFS('Money out'!E:E,'Money out'!B:B,A13,'Money out'!D:D,"Ads")</f>
        <v/>
      </c>
      <c r="M13">
        <f>IF(H13&gt;Budget!B4,"OVER","ok")</f>
        <v/>
      </c>
      <c r="N13">
        <f>N12+SUMIF('Money in'!B:B,A13,'Money in'!F:F)-C13</f>
        <v/>
      </c>
    </row>
    <row r="15">
      <c r="A15" t="inlineStr">
        <is>
          <t>Note: Profit / loss counts only owner income. Put your monthly ₹40k in 'Money in' with Type = Founder top-up, so the bank balance column matches the real bank account.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2026-10-02T22:24:27Z</dcterms:created>
  <dcterms:modified xsi:type="dcterms:W3CDTF">2026-10-02T22:24:27Z</dcterms:modified>
</cp:coreProperties>
</file>