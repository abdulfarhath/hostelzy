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Bills" sheetId="2" state="visible" r:id="rId2"/>
    <sheet name="P&amp;L" sheetId="3" state="visible" r:id="rId3"/>
    <sheet name="Budget" sheetId="4" state="visible" r:id="rId4"/>
    <sheet name="Money in" sheetId="5" state="visible" r:id="rId5"/>
    <sheet name="Money out" sheetId="6" state="visible" r:id="rId6"/>
    <sheet name="Rewards" sheetId="7" state="visible" r:id="rId7"/>
    <sheet name="Partner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;[Red]-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C3013"/>
      </patternFill>
    </fill>
    <fill>
      <patternFill patternType="solid">
        <fgColor rgb="00EEEEEE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0" fillId="4" borderId="0" pivotButton="0" quotePrefix="0" xfId="0"/>
    <xf numFmtId="9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Step</t>
        </is>
      </c>
      <c r="B1" s="1" t="inlineStr">
        <is>
          <t>What to do</t>
        </is>
      </c>
    </row>
    <row r="2">
      <c r="A2" t="n">
        <v>1</v>
      </c>
      <c r="B2" t="inlineStr">
        <is>
          <t>Upload this file to Google Drive → Open with Google Sheets.</t>
        </is>
      </c>
    </row>
    <row r="3">
      <c r="A3" t="n">
        <v>2</v>
      </c>
      <c r="B3" t="inlineStr">
        <is>
          <t>Every Sunday (10 min): add new rows to Money in, Money out, Rewards, Partners.</t>
        </is>
      </c>
    </row>
    <row r="4">
      <c r="A4" t="n">
        <v>3</v>
      </c>
      <c r="B4" t="inlineStr">
        <is>
          <t>Type only the Date; the Month column fills itself. The Summary tab adds up by month by itself.</t>
        </is>
      </c>
    </row>
    <row r="5">
      <c r="A5" t="n">
        <v>4</v>
      </c>
      <c r="B5" t="inlineStr">
        <is>
          <t>Every payment in Money in needs a UTR. Tick 'Checked in bank' only after you see it in the bank statement.</t>
        </is>
      </c>
    </row>
    <row r="6">
      <c r="A6" t="n">
        <v>5</v>
      </c>
      <c r="B6" t="inlineStr">
        <is>
          <t>Every row in Money out needs a receipt saved in Drive: Hostelzy/Receipts/YYYY-MM/.</t>
        </is>
      </c>
    </row>
    <row r="7">
      <c r="A7" t="n">
        <v>6</v>
      </c>
      <c r="B7" t="inlineStr">
        <is>
          <t>Budget caps are in the Budget tab. Red in the Summary = over the cap.</t>
        </is>
      </c>
    </row>
    <row r="8">
      <c r="A8" t="n">
        <v>7</v>
      </c>
      <c r="B8" t="inlineStr">
        <is>
          <t>Plan and rules: docs/finance/plan.md in the repo.</t>
        </is>
      </c>
    </row>
    <row r="9">
      <c r="A9" t="n">
        <v>8</v>
      </c>
      <c r="B9" t="inlineStr">
        <is>
          <t>Bills tab: every account the app needs, cost and due date. P&amp;L tab: 6-month P&amp;L at 20/50/100 hostels; edit yellow cells.</t>
        </is>
      </c>
    </row>
    <row r="10">
      <c r="A10" t="n">
        <v>9</v>
      </c>
      <c r="B10" t="inlineStr">
        <is>
          <t>Budget v3 (2026-10-04): ₹10,000 a month to Hostelzy. Budget and P&amp;L tabs use the lean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8" customWidth="1" min="4" max="4"/>
    <col width="22" customWidth="1" min="5" max="5"/>
    <col width="18" customWidth="1" min="6" max="6"/>
    <col width="40" customWidth="1" min="7" max="7"/>
  </cols>
  <sheetData>
    <row r="1">
      <c r="A1" s="3" t="inlineStr">
        <is>
          <t>Account</t>
        </is>
      </c>
      <c r="B1" s="3" t="inlineStr">
        <is>
          <t>Plan</t>
        </is>
      </c>
      <c r="C1" s="3" t="inlineStr">
        <is>
          <t>₹ per month</t>
        </is>
      </c>
      <c r="D1" s="3" t="inlineStr">
        <is>
          <t>₹ one time / yearly</t>
        </is>
      </c>
      <c r="E1" s="3" t="inlineStr">
        <is>
          <t>Due</t>
        </is>
      </c>
      <c r="F1" s="3" t="inlineStr">
        <is>
          <t>Status</t>
        </is>
      </c>
      <c r="G1" s="3" t="inlineStr">
        <is>
          <t>Unblocks</t>
        </is>
      </c>
    </row>
    <row r="2">
      <c r="A2" t="inlineStr">
        <is>
          <t>Google Play Console</t>
        </is>
      </c>
      <c r="B2" t="inlineStr">
        <is>
          <t>One time $25</t>
        </is>
      </c>
      <c r="C2" s="4" t="n">
        <v>0</v>
      </c>
      <c r="D2" s="4" t="n">
        <v>2900</v>
      </c>
      <c r="E2" t="inlineStr">
        <is>
          <t>Week of 6 Oct 2026</t>
        </is>
      </c>
      <c r="F2" t="inlineStr">
        <is>
          <t>Not paid</t>
        </is>
      </c>
      <c r="G2" t="inlineStr">
        <is>
          <t>Play upload + 14-day closed test</t>
        </is>
      </c>
    </row>
    <row r="3">
      <c r="A3" t="inlineStr">
        <is>
          <t>Supabase live (Mumbai)</t>
        </is>
      </c>
      <c r="B3" t="inlineStr">
        <is>
          <t>Free → Pro $25/mo</t>
        </is>
      </c>
      <c r="C3" s="4" t="n">
        <v>2900</v>
      </c>
      <c r="D3" s="4" t="n">
        <v>0</v>
      </c>
      <c r="E3" t="inlineStr">
        <is>
          <t>1 Nov 2026</t>
        </is>
      </c>
      <c r="F3" t="inlineStr">
        <is>
          <t>Free, running</t>
        </is>
      </c>
      <c r="G3" t="inlineStr">
        <is>
          <t>Backups, no pausing, real owners' data</t>
        </is>
      </c>
    </row>
    <row r="4">
      <c r="A4" t="inlineStr">
        <is>
          <t>Supabase staging</t>
        </is>
      </c>
      <c r="B4" t="inlineStr">
        <is>
          <t>Free</t>
        </is>
      </c>
      <c r="C4" s="4" t="n">
        <v>0</v>
      </c>
      <c r="D4" s="4" t="n">
        <v>0</v>
      </c>
      <c r="E4" t="inlineStr">
        <is>
          <t>When Build needs it</t>
        </is>
      </c>
      <c r="F4" t="inlineStr">
        <is>
          <t>Not made</t>
        </is>
      </c>
      <c r="G4" t="inlineStr">
        <is>
          <t>Test SQL before the live run</t>
        </is>
      </c>
    </row>
    <row r="5">
      <c r="A5" t="inlineStr">
        <is>
          <t>Firebase Spark</t>
        </is>
      </c>
      <c r="B5" t="inlineStr">
        <is>
          <t>Free</t>
        </is>
      </c>
      <c r="C5" s="4" t="n">
        <v>0</v>
      </c>
      <c r="D5" s="4" t="n">
        <v>0</v>
      </c>
      <c r="E5" t="inlineStr">
        <is>
          <t>-</t>
        </is>
      </c>
      <c r="F5" t="inlineStr">
        <is>
          <t>Running</t>
        </is>
      </c>
      <c r="G5" t="inlineStr">
        <is>
          <t>Google sign-in, push, crashes</t>
        </is>
      </c>
    </row>
    <row r="6">
      <c r="A6" t="inlineStr">
        <is>
          <t>Firebase Blaze (SMS OTP)</t>
        </is>
      </c>
      <c r="B6" t="inlineStr">
        <is>
          <t>Pay per SMS, ₹1,000 alert</t>
        </is>
      </c>
      <c r="C6" s="4" t="n">
        <v>1000</v>
      </c>
      <c r="D6" s="4" t="n">
        <v>0</v>
      </c>
      <c r="E6" t="inlineStr">
        <is>
          <t>Nov 2026 (card)</t>
        </is>
      </c>
      <c r="F6" t="inlineStr">
        <is>
          <t>Card failed once</t>
        </is>
      </c>
      <c r="G6" t="inlineStr">
        <is>
          <t>Verified phones</t>
        </is>
      </c>
    </row>
    <row r="7">
      <c r="A7" t="inlineStr">
        <is>
          <t>Google Maps SDK</t>
        </is>
      </c>
      <c r="B7" t="inlineStr">
        <is>
          <t>Pay as you go, ₹500 alert</t>
        </is>
      </c>
      <c r="C7" s="4" t="n">
        <v>0</v>
      </c>
      <c r="D7" s="4" t="n">
        <v>0</v>
      </c>
      <c r="E7" t="inlineStr">
        <is>
          <t>Before Play launch</t>
        </is>
      </c>
      <c r="F7" t="inlineStr">
        <is>
          <t>Not set up</t>
        </is>
      </c>
      <c r="G7" t="inlineStr">
        <is>
          <t>Real map at launch</t>
        </is>
      </c>
    </row>
    <row r="8">
      <c r="A8" t="inlineStr">
        <is>
          <t>MapTiler (fallback only)</t>
        </is>
      </c>
      <c r="B8" t="inlineStr">
        <is>
          <t>Flex ~$25/mo</t>
        </is>
      </c>
      <c r="C8" s="4" t="n">
        <v>0</v>
      </c>
      <c r="D8" s="4" t="n">
        <v>0</v>
      </c>
      <c r="E8" t="inlineStr">
        <is>
          <t>Only if Google fails</t>
        </is>
      </c>
      <c r="F8" t="inlineStr">
        <is>
          <t>-</t>
        </is>
      </c>
      <c r="G8" t="inlineStr">
        <is>
          <t>Map without a Google card</t>
        </is>
      </c>
    </row>
    <row r="9">
      <c r="A9" t="inlineStr">
        <is>
          <t>Domain hostelzy.in</t>
        </is>
      </c>
      <c r="B9" t="inlineStr">
        <is>
          <t>Yearly</t>
        </is>
      </c>
      <c r="C9" s="4" t="n">
        <v>0</v>
      </c>
      <c r="D9" s="4" t="n">
        <v>800</v>
      </c>
      <c r="E9" t="inlineStr">
        <is>
          <t>Oct 2026</t>
        </is>
      </c>
      <c r="F9" t="inlineStr">
        <is>
          <t>Not bought</t>
        </is>
      </c>
      <c r="G9" t="inlineStr">
        <is>
          <t>Own web address</t>
        </is>
      </c>
    </row>
    <row r="10">
      <c r="A10" t="inlineStr">
        <is>
          <t>GitHub Pro</t>
        </is>
      </c>
      <c r="B10" t="inlineStr">
        <is>
          <t>$4/mo when repo private</t>
        </is>
      </c>
      <c r="C10" s="4" t="n">
        <v>460</v>
      </c>
      <c r="D10" s="4" t="n">
        <v>0</v>
      </c>
      <c r="E10" t="inlineStr">
        <is>
          <t>When repo goes private</t>
        </is>
      </c>
      <c r="F10" t="inlineStr">
        <is>
          <t>Free</t>
        </is>
      </c>
      <c r="G10" t="inlineStr">
        <is>
          <t>Pages + build minutes on private repo</t>
        </is>
      </c>
    </row>
    <row r="11">
      <c r="A11" t="inlineStr">
        <is>
          <t>Claude / AI tokens</t>
        </is>
      </c>
      <c r="B11" t="inlineStr">
        <is>
          <t>Your plan</t>
        </is>
      </c>
      <c r="C11" s="4" t="n">
        <v>10000</v>
      </c>
      <c r="D11" s="4" t="n">
        <v>0</v>
      </c>
      <c r="E11" t="inlineStr">
        <is>
          <t>Monthly</t>
        </is>
      </c>
      <c r="F11" t="inlineStr">
        <is>
          <t>Running</t>
        </is>
      </c>
      <c r="G11" t="inlineStr">
        <is>
          <t>Building the app</t>
        </is>
      </c>
    </row>
    <row r="12">
      <c r="A12" t="inlineStr">
        <is>
          <t>WhatsApp Business app</t>
        </is>
      </c>
      <c r="B12" t="inlineStr">
        <is>
          <t>Free</t>
        </is>
      </c>
      <c r="C12" s="4" t="n">
        <v>0</v>
      </c>
      <c r="D12" s="4" t="n">
        <v>0</v>
      </c>
      <c r="E12" t="inlineStr">
        <is>
          <t>-</t>
        </is>
      </c>
      <c r="F12" t="inlineStr">
        <is>
          <t>-</t>
        </is>
      </c>
      <c r="G12" t="inlineStr">
        <is>
          <t>Owner chats</t>
        </is>
      </c>
    </row>
    <row r="13">
      <c r="A13" s="2" t="inlineStr">
        <is>
          <t>Total</t>
        </is>
      </c>
      <c r="B13" s="2" t="inlineStr"/>
      <c r="C13" s="5">
        <f>SUM(C2:C12)</f>
        <v/>
      </c>
      <c r="D13" s="5">
        <f>SUM(D2:D12)</f>
        <v/>
      </c>
      <c r="E13" s="2" t="inlineStr"/>
      <c r="F13" s="2" t="inlineStr"/>
      <c r="G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Assumptions (edit the yellow cells) · Budget v3 lean plan, 2026-10-04</t>
        </is>
      </c>
    </row>
    <row r="2">
      <c r="A2" t="inlineStr">
        <is>
          <t>Average price per paying hostel (₹)</t>
        </is>
      </c>
      <c r="B2" s="6" t="n">
        <v>750</v>
      </c>
    </row>
    <row r="3">
      <c r="A3" t="inlineStr">
        <is>
          <t>Trial converts to paid</t>
        </is>
      </c>
      <c r="B3" s="7" t="n">
        <v>0.7</v>
      </c>
    </row>
    <row r="4">
      <c r="A4" t="inlineStr">
        <is>
          <t>Commission per new paying owner (₹)</t>
        </is>
      </c>
      <c r="B4" s="6" t="n">
        <v>200</v>
      </c>
    </row>
    <row r="5">
      <c r="A5" t="inlineStr">
        <is>
          <t>Print per new hostel (₹)</t>
        </is>
      </c>
      <c r="B5" s="6" t="n">
        <v>150</v>
      </c>
    </row>
    <row r="6">
      <c r="A6" t="inlineStr">
        <is>
          <t>Rewards per paying hostel (₹, from month 3)</t>
        </is>
      </c>
      <c r="B6" s="6" t="n">
        <v>80</v>
      </c>
    </row>
    <row r="7">
      <c r="A7" t="inlineStr">
        <is>
          <t>Rewards cap (₹)</t>
        </is>
      </c>
      <c r="B7" s="6" t="n">
        <v>1000</v>
      </c>
    </row>
    <row r="8">
      <c r="A8" t="inlineStr">
        <is>
          <t>AI tokens (₹/month)</t>
        </is>
      </c>
      <c r="B8" s="6" t="n">
        <v>2300</v>
      </c>
    </row>
    <row r="9">
      <c r="A9" t="inlineStr">
        <is>
          <t>Tech month 1 (₹)</t>
        </is>
      </c>
      <c r="B9" s="6" t="n">
        <v>2400</v>
      </c>
    </row>
    <row r="10">
      <c r="A10" t="inlineStr">
        <is>
          <t>Supabase Pro from 10 paying hostels (₹)</t>
        </is>
      </c>
      <c r="B10" s="6" t="n">
        <v>2900</v>
      </c>
    </row>
    <row r="11"/>
    <row r="12">
      <c r="A12" s="2" t="inlineStr">
        <is>
          <t>Scenario: 20 hostels by March</t>
        </is>
      </c>
      <c r="H12" t="inlineStr">
        <is>
          <t>SMS ₹/mo</t>
        </is>
      </c>
      <c r="I12" s="6" t="n">
        <v>0</v>
      </c>
      <c r="J12" t="inlineStr">
        <is>
          <t>Hold pay ₹/mo</t>
        </is>
      </c>
      <c r="K12" s="6" t="n">
        <v>1000</v>
      </c>
      <c r="L12" t="inlineStr">
        <is>
          <t>Ads ₹/mo</t>
        </is>
      </c>
      <c r="M12" s="6" t="n">
        <v>0</v>
      </c>
    </row>
    <row r="13">
      <c r="A13" s="2" t="inlineStr">
        <is>
          <t>Line</t>
        </is>
      </c>
      <c r="B13" s="3" t="inlineStr">
        <is>
          <t>Oct 2026</t>
        </is>
      </c>
      <c r="C13" s="3" t="inlineStr">
        <is>
          <t>Nov 2026</t>
        </is>
      </c>
      <c r="D13" s="3" t="inlineStr">
        <is>
          <t>Dec 2026</t>
        </is>
      </c>
      <c r="E13" s="3" t="inlineStr">
        <is>
          <t>Jan 2027</t>
        </is>
      </c>
      <c r="F13" s="3" t="inlineStr">
        <is>
          <t>Feb 2027</t>
        </is>
      </c>
      <c r="G13" s="3" t="inlineStr">
        <is>
          <t>Mar 2027</t>
        </is>
      </c>
    </row>
    <row r="14">
      <c r="A14" t="inlineStr">
        <is>
          <t>Hostels live</t>
        </is>
      </c>
      <c r="B14" s="6" t="n">
        <v>15</v>
      </c>
      <c r="C14" s="6" t="n">
        <v>20</v>
      </c>
      <c r="D14" s="6" t="n">
        <v>20</v>
      </c>
      <c r="E14" s="6" t="n">
        <v>20</v>
      </c>
      <c r="F14" s="6" t="n">
        <v>20</v>
      </c>
      <c r="G14" s="6" t="n">
        <v>20</v>
      </c>
    </row>
    <row r="15">
      <c r="A15" t="inlineStr">
        <is>
          <t>Paying hostels</t>
        </is>
      </c>
      <c r="B15" t="n">
        <v>0</v>
      </c>
      <c r="C15">
        <f>ROUND($B$3*B14,0)</f>
        <v/>
      </c>
      <c r="D15">
        <f>ROUND($B$3*C14,0)</f>
        <v/>
      </c>
      <c r="E15">
        <f>ROUND($B$3*D14,0)</f>
        <v/>
      </c>
      <c r="F15">
        <f>ROUND($B$3*E14,0)</f>
        <v/>
      </c>
      <c r="G15">
        <f>ROUND($B$3*F14,0)</f>
        <v/>
      </c>
    </row>
    <row r="16">
      <c r="A16" s="2" t="inlineStr">
        <is>
          <t>Revenue</t>
        </is>
      </c>
      <c r="B16" s="8">
        <f>$B$2*B15</f>
        <v/>
      </c>
      <c r="C16" s="8">
        <f>$B$2*C15</f>
        <v/>
      </c>
      <c r="D16" s="8">
        <f>$B$2*D15</f>
        <v/>
      </c>
      <c r="E16" s="8">
        <f>$B$2*E15</f>
        <v/>
      </c>
      <c r="F16" s="8">
        <f>$B$2*F15</f>
        <v/>
      </c>
      <c r="G16" s="8">
        <f>$B$2*G15</f>
        <v/>
      </c>
    </row>
    <row r="17">
      <c r="A17" t="inlineStr">
        <is>
          <t>Tech</t>
        </is>
      </c>
      <c r="B17" s="8">
        <f>$B$9</f>
        <v/>
      </c>
      <c r="C17" s="8">
        <f>IF(C15&gt;=10,$B$10,0)+$I$12</f>
        <v/>
      </c>
      <c r="D17" s="8">
        <f>IF(D15&gt;=10,$B$10,0)+$I$12</f>
        <v/>
      </c>
      <c r="E17" s="8">
        <f>IF(E15&gt;=10,$B$10,0)+$I$12</f>
        <v/>
      </c>
      <c r="F17" s="8">
        <f>IF(F15&gt;=10,$B$10,0)+$I$12</f>
        <v/>
      </c>
      <c r="G17" s="8">
        <f>IF(G15&gt;=10,$B$10,0)+$I$12</f>
        <v/>
      </c>
    </row>
    <row r="18">
      <c r="A18" t="inlineStr">
        <is>
          <t>AI tokens</t>
        </is>
      </c>
      <c r="B18" s="8">
        <f>$B$8</f>
        <v/>
      </c>
      <c r="C18" s="8">
        <f>$B$8</f>
        <v/>
      </c>
      <c r="D18" s="8">
        <f>$B$8</f>
        <v/>
      </c>
      <c r="E18" s="8">
        <f>$B$8</f>
        <v/>
      </c>
      <c r="F18" s="8">
        <f>$B$8</f>
        <v/>
      </c>
      <c r="G18" s="8">
        <f>$B$8</f>
        <v/>
      </c>
    </row>
    <row r="19">
      <c r="A19" t="inlineStr">
        <is>
          <t>Commission</t>
        </is>
      </c>
      <c r="B19" s="8">
        <f>0</f>
        <v/>
      </c>
      <c r="C19" s="8">
        <f>$B$4*MAX(0,C15-B15)+$K$12</f>
        <v/>
      </c>
      <c r="D19" s="8">
        <f>$B$4*MAX(0,D15-C15)+$K$12</f>
        <v/>
      </c>
      <c r="E19" s="8">
        <f>$B$4*MAX(0,E15-D15)+$K$12</f>
        <v/>
      </c>
      <c r="F19" s="8">
        <f>$B$4*MAX(0,F15-E15)+$K$12</f>
        <v/>
      </c>
      <c r="G19" s="8">
        <f>$B$4*MAX(0,G15-F15)+$K$12</f>
        <v/>
      </c>
    </row>
    <row r="20">
      <c r="A20" t="inlineStr">
        <is>
          <t>Print</t>
        </is>
      </c>
      <c r="B20" s="8">
        <f>$B$5*B14</f>
        <v/>
      </c>
      <c r="C20" s="8">
        <f>$B$5*MAX(0,C14-B14)</f>
        <v/>
      </c>
      <c r="D20" s="8">
        <f>$B$5*MAX(0,D14-C14)</f>
        <v/>
      </c>
      <c r="E20" s="8">
        <f>$B$5*MAX(0,E14-D14)</f>
        <v/>
      </c>
      <c r="F20" s="8">
        <f>$B$5*MAX(0,F14-E14)</f>
        <v/>
      </c>
      <c r="G20" s="8">
        <f>$B$5*MAX(0,G14-F14)</f>
        <v/>
      </c>
    </row>
    <row r="21">
      <c r="A21" t="inlineStr">
        <is>
          <t>Travel</t>
        </is>
      </c>
      <c r="B21" s="8">
        <f>2000</f>
        <v/>
      </c>
      <c r="C21" s="8">
        <f>IF(C14&gt;B14,2000,1000)</f>
        <v/>
      </c>
      <c r="D21" s="8">
        <f>IF(D14&gt;C14,2000,1000)</f>
        <v/>
      </c>
      <c r="E21" s="8">
        <f>IF(E14&gt;D14,2000,1000)</f>
        <v/>
      </c>
      <c r="F21" s="8">
        <f>IF(F14&gt;E14,2000,1000)</f>
        <v/>
      </c>
      <c r="G21" s="8">
        <f>IF(G14&gt;F14,2000,1000)</f>
        <v/>
      </c>
    </row>
    <row r="22">
      <c r="A22" t="inlineStr">
        <is>
          <t>Ads</t>
        </is>
      </c>
      <c r="B22" s="8">
        <f>0</f>
        <v/>
      </c>
      <c r="C22" s="8">
        <f>$M$12</f>
        <v/>
      </c>
      <c r="D22" s="8">
        <f>$M$12</f>
        <v/>
      </c>
      <c r="E22" s="8">
        <f>$M$12</f>
        <v/>
      </c>
      <c r="F22" s="8">
        <f>$M$12</f>
        <v/>
      </c>
      <c r="G22" s="8">
        <f>$M$12</f>
        <v/>
      </c>
    </row>
    <row r="23">
      <c r="A23" t="inlineStr">
        <is>
          <t>Rewards</t>
        </is>
      </c>
      <c r="B23" s="8">
        <f>0</f>
        <v/>
      </c>
      <c r="C23" s="8">
        <f>0</f>
        <v/>
      </c>
      <c r="D23" s="8">
        <f>MIN($B$7,$B$6*D15)</f>
        <v/>
      </c>
      <c r="E23" s="8">
        <f>MIN($B$7,$B$6*E15)</f>
        <v/>
      </c>
      <c r="F23" s="8">
        <f>MIN($B$7,$B$6*F15)</f>
        <v/>
      </c>
      <c r="G23" s="8">
        <f>MIN($B$7,$B$6*G15)</f>
        <v/>
      </c>
    </row>
    <row r="24">
      <c r="A24" s="2" t="inlineStr">
        <is>
          <t>Costs</t>
        </is>
      </c>
      <c r="B24" s="8">
        <f>SUM(B17:B23)</f>
        <v/>
      </c>
      <c r="C24" s="8">
        <f>SUM(C17:C23)</f>
        <v/>
      </c>
      <c r="D24" s="8">
        <f>SUM(D17:D23)</f>
        <v/>
      </c>
      <c r="E24" s="8">
        <f>SUM(E17:E23)</f>
        <v/>
      </c>
      <c r="F24" s="8">
        <f>SUM(F17:F23)</f>
        <v/>
      </c>
      <c r="G24" s="8">
        <f>SUM(G17:G23)</f>
        <v/>
      </c>
    </row>
    <row r="25">
      <c r="A25" s="2" t="inlineStr">
        <is>
          <t>Profit / loss</t>
        </is>
      </c>
      <c r="B25" s="8">
        <f>B16-B24</f>
        <v/>
      </c>
      <c r="C25" s="8">
        <f>C16-C24</f>
        <v/>
      </c>
      <c r="D25" s="8">
        <f>D16-D24</f>
        <v/>
      </c>
      <c r="E25" s="8">
        <f>E16-E24</f>
        <v/>
      </c>
      <c r="F25" s="8">
        <f>F16-F24</f>
        <v/>
      </c>
      <c r="G25" s="8">
        <f>G16-G24</f>
        <v/>
      </c>
    </row>
    <row r="26">
      <c r="A26" t="inlineStr">
        <is>
          <t>P/L without AI tokens</t>
        </is>
      </c>
      <c r="B26" s="8">
        <f>B25+B18</f>
        <v/>
      </c>
      <c r="C26" s="8">
        <f>C25+C18</f>
        <v/>
      </c>
      <c r="D26" s="8">
        <f>D25+D18</f>
        <v/>
      </c>
      <c r="E26" s="8">
        <f>E25+E18</f>
        <v/>
      </c>
      <c r="F26" s="8">
        <f>F25+F18</f>
        <v/>
      </c>
      <c r="G26" s="8">
        <f>G25+G18</f>
        <v/>
      </c>
    </row>
    <row r="27">
      <c r="A27" t="inlineStr">
        <is>
          <t>Cumulative P/L</t>
        </is>
      </c>
      <c r="B27" s="8">
        <f>B25</f>
        <v/>
      </c>
      <c r="C27" s="8">
        <f>B27+C25</f>
        <v/>
      </c>
      <c r="D27" s="8">
        <f>C27+D25</f>
        <v/>
      </c>
      <c r="E27" s="8">
        <f>D27+E25</f>
        <v/>
      </c>
      <c r="F27" s="8">
        <f>E27+F25</f>
        <v/>
      </c>
      <c r="G27" s="8">
        <f>F27+G25</f>
        <v/>
      </c>
    </row>
    <row r="28">
      <c r="A28" s="2" t="inlineStr">
        <is>
          <t>Break-even month</t>
        </is>
      </c>
      <c r="B28">
        <f>IFERROR(INDEX($B$13:$G$13,MATCH(TRUE,INDEX($B$25:$G$25&gt;=0,0),0)),"Not in 6 months")</f>
        <v/>
      </c>
    </row>
    <row r="29"/>
    <row r="30">
      <c r="A30" s="2" t="inlineStr">
        <is>
          <t>Scenario: 50 hostels by March</t>
        </is>
      </c>
      <c r="H30" t="inlineStr">
        <is>
          <t>SMS ₹/mo</t>
        </is>
      </c>
      <c r="I30" s="6" t="n">
        <v>0</v>
      </c>
      <c r="J30" t="inlineStr">
        <is>
          <t>Hold pay ₹/mo</t>
        </is>
      </c>
      <c r="K30" s="6" t="n">
        <v>1000</v>
      </c>
      <c r="L30" t="inlineStr">
        <is>
          <t>Ads ₹/mo</t>
        </is>
      </c>
      <c r="M30" s="6" t="n">
        <v>0</v>
      </c>
    </row>
    <row r="31">
      <c r="A31" s="2" t="inlineStr">
        <is>
          <t>Line</t>
        </is>
      </c>
      <c r="B31" s="3" t="inlineStr">
        <is>
          <t>Oct 2026</t>
        </is>
      </c>
      <c r="C31" s="3" t="inlineStr">
        <is>
          <t>Nov 2026</t>
        </is>
      </c>
      <c r="D31" s="3" t="inlineStr">
        <is>
          <t>Dec 2026</t>
        </is>
      </c>
      <c r="E31" s="3" t="inlineStr">
        <is>
          <t>Jan 2027</t>
        </is>
      </c>
      <c r="F31" s="3" t="inlineStr">
        <is>
          <t>Feb 2027</t>
        </is>
      </c>
      <c r="G31" s="3" t="inlineStr">
        <is>
          <t>Mar 2027</t>
        </is>
      </c>
    </row>
    <row r="32">
      <c r="A32" t="inlineStr">
        <is>
          <t>Hostels live</t>
        </is>
      </c>
      <c r="B32" s="6" t="n">
        <v>20</v>
      </c>
      <c r="C32" s="6" t="n">
        <v>30</v>
      </c>
      <c r="D32" s="6" t="n">
        <v>40</v>
      </c>
      <c r="E32" s="6" t="n">
        <v>50</v>
      </c>
      <c r="F32" s="6" t="n">
        <v>50</v>
      </c>
      <c r="G32" s="6" t="n">
        <v>50</v>
      </c>
    </row>
    <row r="33">
      <c r="A33" t="inlineStr">
        <is>
          <t>Paying hostels</t>
        </is>
      </c>
      <c r="B33" t="n">
        <v>0</v>
      </c>
      <c r="C33">
        <f>ROUND($B$3*B32,0)</f>
        <v/>
      </c>
      <c r="D33">
        <f>ROUND($B$3*C32,0)</f>
        <v/>
      </c>
      <c r="E33">
        <f>ROUND($B$3*D32,0)</f>
        <v/>
      </c>
      <c r="F33">
        <f>ROUND($B$3*E32,0)</f>
        <v/>
      </c>
      <c r="G33">
        <f>ROUND($B$3*F32,0)</f>
        <v/>
      </c>
    </row>
    <row r="34">
      <c r="A34" s="2" t="inlineStr">
        <is>
          <t>Revenue</t>
        </is>
      </c>
      <c r="B34" s="8">
        <f>$B$2*B33</f>
        <v/>
      </c>
      <c r="C34" s="8">
        <f>$B$2*C33</f>
        <v/>
      </c>
      <c r="D34" s="8">
        <f>$B$2*D33</f>
        <v/>
      </c>
      <c r="E34" s="8">
        <f>$B$2*E33</f>
        <v/>
      </c>
      <c r="F34" s="8">
        <f>$B$2*F33</f>
        <v/>
      </c>
      <c r="G34" s="8">
        <f>$B$2*G33</f>
        <v/>
      </c>
    </row>
    <row r="35">
      <c r="A35" t="inlineStr">
        <is>
          <t>Tech</t>
        </is>
      </c>
      <c r="B35" s="8">
        <f>$B$9</f>
        <v/>
      </c>
      <c r="C35" s="8">
        <f>IF(C33&gt;=10,$B$10,0)+$I$30</f>
        <v/>
      </c>
      <c r="D35" s="8">
        <f>IF(D33&gt;=10,$B$10,0)+$I$30</f>
        <v/>
      </c>
      <c r="E35" s="8">
        <f>IF(E33&gt;=10,$B$10,0)+$I$30</f>
        <v/>
      </c>
      <c r="F35" s="8">
        <f>IF(F33&gt;=10,$B$10,0)+$I$30</f>
        <v/>
      </c>
      <c r="G35" s="8">
        <f>IF(G33&gt;=10,$B$10,0)+$I$30</f>
        <v/>
      </c>
    </row>
    <row r="36">
      <c r="A36" t="inlineStr">
        <is>
          <t>AI tokens</t>
        </is>
      </c>
      <c r="B36" s="8">
        <f>$B$8</f>
        <v/>
      </c>
      <c r="C36" s="8">
        <f>$B$8</f>
        <v/>
      </c>
      <c r="D36" s="8">
        <f>$B$8</f>
        <v/>
      </c>
      <c r="E36" s="8">
        <f>$B$8</f>
        <v/>
      </c>
      <c r="F36" s="8">
        <f>$B$8</f>
        <v/>
      </c>
      <c r="G36" s="8">
        <f>$B$8</f>
        <v/>
      </c>
    </row>
    <row r="37">
      <c r="A37" t="inlineStr">
        <is>
          <t>Commission</t>
        </is>
      </c>
      <c r="B37" s="8">
        <f>0</f>
        <v/>
      </c>
      <c r="C37" s="8">
        <f>$B$4*MAX(0,C33-B33)+$K$30</f>
        <v/>
      </c>
      <c r="D37" s="8">
        <f>$B$4*MAX(0,D33-C33)+$K$30</f>
        <v/>
      </c>
      <c r="E37" s="8">
        <f>$B$4*MAX(0,E33-D33)+$K$30</f>
        <v/>
      </c>
      <c r="F37" s="8">
        <f>$B$4*MAX(0,F33-E33)+$K$30</f>
        <v/>
      </c>
      <c r="G37" s="8">
        <f>$B$4*MAX(0,G33-F33)+$K$30</f>
        <v/>
      </c>
    </row>
    <row r="38">
      <c r="A38" t="inlineStr">
        <is>
          <t>Print</t>
        </is>
      </c>
      <c r="B38" s="8">
        <f>$B$5*B32</f>
        <v/>
      </c>
      <c r="C38" s="8">
        <f>$B$5*MAX(0,C32-B32)</f>
        <v/>
      </c>
      <c r="D38" s="8">
        <f>$B$5*MAX(0,D32-C32)</f>
        <v/>
      </c>
      <c r="E38" s="8">
        <f>$B$5*MAX(0,E32-D32)</f>
        <v/>
      </c>
      <c r="F38" s="8">
        <f>$B$5*MAX(0,F32-E32)</f>
        <v/>
      </c>
      <c r="G38" s="8">
        <f>$B$5*MAX(0,G32-F32)</f>
        <v/>
      </c>
    </row>
    <row r="39">
      <c r="A39" t="inlineStr">
        <is>
          <t>Travel</t>
        </is>
      </c>
      <c r="B39" s="8">
        <f>2000</f>
        <v/>
      </c>
      <c r="C39" s="8">
        <f>IF(C32&gt;B32,2000,1000)</f>
        <v/>
      </c>
      <c r="D39" s="8">
        <f>IF(D32&gt;C32,2000,1000)</f>
        <v/>
      </c>
      <c r="E39" s="8">
        <f>IF(E32&gt;D32,2000,1000)</f>
        <v/>
      </c>
      <c r="F39" s="8">
        <f>IF(F32&gt;E32,2000,1000)</f>
        <v/>
      </c>
      <c r="G39" s="8">
        <f>IF(G32&gt;F32,2000,1000)</f>
        <v/>
      </c>
    </row>
    <row r="40">
      <c r="A40" t="inlineStr">
        <is>
          <t>Ads</t>
        </is>
      </c>
      <c r="B40" s="8">
        <f>0</f>
        <v/>
      </c>
      <c r="C40" s="8">
        <f>$M$30</f>
        <v/>
      </c>
      <c r="D40" s="8">
        <f>$M$30</f>
        <v/>
      </c>
      <c r="E40" s="8">
        <f>$M$30</f>
        <v/>
      </c>
      <c r="F40" s="8">
        <f>$M$30</f>
        <v/>
      </c>
      <c r="G40" s="8">
        <f>$M$30</f>
        <v/>
      </c>
    </row>
    <row r="41">
      <c r="A41" t="inlineStr">
        <is>
          <t>Rewards</t>
        </is>
      </c>
      <c r="B41" s="8">
        <f>0</f>
        <v/>
      </c>
      <c r="C41" s="8">
        <f>0</f>
        <v/>
      </c>
      <c r="D41" s="8">
        <f>MIN($B$7,$B$6*D33)</f>
        <v/>
      </c>
      <c r="E41" s="8">
        <f>MIN($B$7,$B$6*E33)</f>
        <v/>
      </c>
      <c r="F41" s="8">
        <f>MIN($B$7,$B$6*F33)</f>
        <v/>
      </c>
      <c r="G41" s="8">
        <f>MIN($B$7,$B$6*G33)</f>
        <v/>
      </c>
    </row>
    <row r="42">
      <c r="A42" s="2" t="inlineStr">
        <is>
          <t>Costs</t>
        </is>
      </c>
      <c r="B42" s="8">
        <f>SUM(B35:B41)</f>
        <v/>
      </c>
      <c r="C42" s="8">
        <f>SUM(C35:C41)</f>
        <v/>
      </c>
      <c r="D42" s="8">
        <f>SUM(D35:D41)</f>
        <v/>
      </c>
      <c r="E42" s="8">
        <f>SUM(E35:E41)</f>
        <v/>
      </c>
      <c r="F42" s="8">
        <f>SUM(F35:F41)</f>
        <v/>
      </c>
      <c r="G42" s="8">
        <f>SUM(G35:G41)</f>
        <v/>
      </c>
    </row>
    <row r="43">
      <c r="A43" s="2" t="inlineStr">
        <is>
          <t>Profit / loss</t>
        </is>
      </c>
      <c r="B43" s="8">
        <f>B34-B42</f>
        <v/>
      </c>
      <c r="C43" s="8">
        <f>C34-C42</f>
        <v/>
      </c>
      <c r="D43" s="8">
        <f>D34-D42</f>
        <v/>
      </c>
      <c r="E43" s="8">
        <f>E34-E42</f>
        <v/>
      </c>
      <c r="F43" s="8">
        <f>F34-F42</f>
        <v/>
      </c>
      <c r="G43" s="8">
        <f>G34-G42</f>
        <v/>
      </c>
    </row>
    <row r="44">
      <c r="A44" t="inlineStr">
        <is>
          <t>P/L without AI tokens</t>
        </is>
      </c>
      <c r="B44" s="8">
        <f>B43+B36</f>
        <v/>
      </c>
      <c r="C44" s="8">
        <f>C43+C36</f>
        <v/>
      </c>
      <c r="D44" s="8">
        <f>D43+D36</f>
        <v/>
      </c>
      <c r="E44" s="8">
        <f>E43+E36</f>
        <v/>
      </c>
      <c r="F44" s="8">
        <f>F43+F36</f>
        <v/>
      </c>
      <c r="G44" s="8">
        <f>G43+G36</f>
        <v/>
      </c>
    </row>
    <row r="45">
      <c r="A45" t="inlineStr">
        <is>
          <t>Cumulative P/L</t>
        </is>
      </c>
      <c r="B45" s="8">
        <f>B43</f>
        <v/>
      </c>
      <c r="C45" s="8">
        <f>B45+C43</f>
        <v/>
      </c>
      <c r="D45" s="8">
        <f>C45+D43</f>
        <v/>
      </c>
      <c r="E45" s="8">
        <f>D45+E43</f>
        <v/>
      </c>
      <c r="F45" s="8">
        <f>E45+F43</f>
        <v/>
      </c>
      <c r="G45" s="8">
        <f>F45+G43</f>
        <v/>
      </c>
    </row>
    <row r="46">
      <c r="A46" s="2" t="inlineStr">
        <is>
          <t>Break-even month</t>
        </is>
      </c>
      <c r="B46">
        <f>IFERROR(INDEX($B$31:$G$31,MATCH(TRUE,INDEX($B$43:$G$43&gt;=0,0),0)),"Not in 6 months")</f>
        <v/>
      </c>
    </row>
    <row r="47"/>
    <row r="48">
      <c r="A48" s="2" t="inlineStr">
        <is>
          <t>Scenario: 100 hostels by March</t>
        </is>
      </c>
      <c r="H48" t="inlineStr">
        <is>
          <t>SMS ₹/mo</t>
        </is>
      </c>
      <c r="I48" s="6" t="n">
        <v>0</v>
      </c>
      <c r="J48" t="inlineStr">
        <is>
          <t>Hold pay ₹/mo</t>
        </is>
      </c>
      <c r="K48" s="6" t="n">
        <v>1000</v>
      </c>
      <c r="L48" t="inlineStr">
        <is>
          <t>Ads ₹/mo</t>
        </is>
      </c>
      <c r="M48" s="6" t="n">
        <v>0</v>
      </c>
    </row>
    <row r="49">
      <c r="A49" s="2" t="inlineStr">
        <is>
          <t>Line</t>
        </is>
      </c>
      <c r="B49" s="3" t="inlineStr">
        <is>
          <t>Oct 2026</t>
        </is>
      </c>
      <c r="C49" s="3" t="inlineStr">
        <is>
          <t>Nov 2026</t>
        </is>
      </c>
      <c r="D49" s="3" t="inlineStr">
        <is>
          <t>Dec 2026</t>
        </is>
      </c>
      <c r="E49" s="3" t="inlineStr">
        <is>
          <t>Jan 2027</t>
        </is>
      </c>
      <c r="F49" s="3" t="inlineStr">
        <is>
          <t>Feb 2027</t>
        </is>
      </c>
      <c r="G49" s="3" t="inlineStr">
        <is>
          <t>Mar 2027</t>
        </is>
      </c>
    </row>
    <row r="50">
      <c r="A50" t="inlineStr">
        <is>
          <t>Hostels live</t>
        </is>
      </c>
      <c r="B50" s="6" t="n">
        <v>20</v>
      </c>
      <c r="C50" s="6" t="n">
        <v>35</v>
      </c>
      <c r="D50" s="6" t="n">
        <v>50</v>
      </c>
      <c r="E50" s="6" t="n">
        <v>70</v>
      </c>
      <c r="F50" s="6" t="n">
        <v>85</v>
      </c>
      <c r="G50" s="6" t="n">
        <v>100</v>
      </c>
    </row>
    <row r="51">
      <c r="A51" t="inlineStr">
        <is>
          <t>Paying hostels</t>
        </is>
      </c>
      <c r="B51" t="n">
        <v>0</v>
      </c>
      <c r="C51">
        <f>ROUND($B$3*B50,0)</f>
        <v/>
      </c>
      <c r="D51">
        <f>ROUND($B$3*C50,0)</f>
        <v/>
      </c>
      <c r="E51">
        <f>ROUND($B$3*D50,0)</f>
        <v/>
      </c>
      <c r="F51">
        <f>ROUND($B$3*E50,0)</f>
        <v/>
      </c>
      <c r="G51">
        <f>ROUND($B$3*F50,0)</f>
        <v/>
      </c>
    </row>
    <row r="52">
      <c r="A52" s="2" t="inlineStr">
        <is>
          <t>Revenue</t>
        </is>
      </c>
      <c r="B52" s="8">
        <f>$B$2*B51</f>
        <v/>
      </c>
      <c r="C52" s="8">
        <f>$B$2*C51</f>
        <v/>
      </c>
      <c r="D52" s="8">
        <f>$B$2*D51</f>
        <v/>
      </c>
      <c r="E52" s="8">
        <f>$B$2*E51</f>
        <v/>
      </c>
      <c r="F52" s="8">
        <f>$B$2*F51</f>
        <v/>
      </c>
      <c r="G52" s="8">
        <f>$B$2*G51</f>
        <v/>
      </c>
    </row>
    <row r="53">
      <c r="A53" t="inlineStr">
        <is>
          <t>Tech</t>
        </is>
      </c>
      <c r="B53" s="8">
        <f>$B$9</f>
        <v/>
      </c>
      <c r="C53" s="8">
        <f>IF(C51&gt;=10,$B$10,0)+$I$48</f>
        <v/>
      </c>
      <c r="D53" s="8">
        <f>IF(D51&gt;=10,$B$10,0)+$I$48</f>
        <v/>
      </c>
      <c r="E53" s="8">
        <f>IF(E51&gt;=10,$B$10,0)+$I$48</f>
        <v/>
      </c>
      <c r="F53" s="8">
        <f>IF(F51&gt;=10,$B$10,0)+$I$48</f>
        <v/>
      </c>
      <c r="G53" s="8">
        <f>IF(G51&gt;=10,$B$10,0)+$I$48</f>
        <v/>
      </c>
    </row>
    <row r="54">
      <c r="A54" t="inlineStr">
        <is>
          <t>AI tokens</t>
        </is>
      </c>
      <c r="B54" s="8">
        <f>$B$8</f>
        <v/>
      </c>
      <c r="C54" s="8">
        <f>$B$8</f>
        <v/>
      </c>
      <c r="D54" s="8">
        <f>$B$8</f>
        <v/>
      </c>
      <c r="E54" s="8">
        <f>$B$8</f>
        <v/>
      </c>
      <c r="F54" s="8">
        <f>$B$8</f>
        <v/>
      </c>
      <c r="G54" s="8">
        <f>$B$8</f>
        <v/>
      </c>
    </row>
    <row r="55">
      <c r="A55" t="inlineStr">
        <is>
          <t>Commission</t>
        </is>
      </c>
      <c r="B55" s="8">
        <f>0</f>
        <v/>
      </c>
      <c r="C55" s="8">
        <f>$B$4*MAX(0,C51-B51)+$K$48</f>
        <v/>
      </c>
      <c r="D55" s="8">
        <f>$B$4*MAX(0,D51-C51)+$K$48</f>
        <v/>
      </c>
      <c r="E55" s="8">
        <f>$B$4*MAX(0,E51-D51)+$K$48</f>
        <v/>
      </c>
      <c r="F55" s="8">
        <f>$B$4*MAX(0,F51-E51)+$K$48</f>
        <v/>
      </c>
      <c r="G55" s="8">
        <f>$B$4*MAX(0,G51-F51)+$K$48</f>
        <v/>
      </c>
    </row>
    <row r="56">
      <c r="A56" t="inlineStr">
        <is>
          <t>Print</t>
        </is>
      </c>
      <c r="B56" s="8">
        <f>$B$5*B50</f>
        <v/>
      </c>
      <c r="C56" s="8">
        <f>$B$5*MAX(0,C50-B50)</f>
        <v/>
      </c>
      <c r="D56" s="8">
        <f>$B$5*MAX(0,D50-C50)</f>
        <v/>
      </c>
      <c r="E56" s="8">
        <f>$B$5*MAX(0,E50-D50)</f>
        <v/>
      </c>
      <c r="F56" s="8">
        <f>$B$5*MAX(0,F50-E50)</f>
        <v/>
      </c>
      <c r="G56" s="8">
        <f>$B$5*MAX(0,G50-F50)</f>
        <v/>
      </c>
    </row>
    <row r="57">
      <c r="A57" t="inlineStr">
        <is>
          <t>Travel</t>
        </is>
      </c>
      <c r="B57" s="8">
        <f>2000</f>
        <v/>
      </c>
      <c r="C57" s="8">
        <f>IF(C50&gt;B50,2000,1000)</f>
        <v/>
      </c>
      <c r="D57" s="8">
        <f>IF(D50&gt;C50,2000,1000)</f>
        <v/>
      </c>
      <c r="E57" s="8">
        <f>IF(E50&gt;D50,2000,1000)</f>
        <v/>
      </c>
      <c r="F57" s="8">
        <f>IF(F50&gt;E50,2000,1000)</f>
        <v/>
      </c>
      <c r="G57" s="8">
        <f>IF(G50&gt;F50,2000,1000)</f>
        <v/>
      </c>
    </row>
    <row r="58">
      <c r="A58" t="inlineStr">
        <is>
          <t>Ads</t>
        </is>
      </c>
      <c r="B58" s="8">
        <f>0</f>
        <v/>
      </c>
      <c r="C58" s="8">
        <f>$M$48</f>
        <v/>
      </c>
      <c r="D58" s="8">
        <f>$M$48</f>
        <v/>
      </c>
      <c r="E58" s="8">
        <f>$M$48</f>
        <v/>
      </c>
      <c r="F58" s="8">
        <f>$M$48</f>
        <v/>
      </c>
      <c r="G58" s="8">
        <f>$M$48</f>
        <v/>
      </c>
    </row>
    <row r="59">
      <c r="A59" t="inlineStr">
        <is>
          <t>Rewards</t>
        </is>
      </c>
      <c r="B59" s="8">
        <f>0</f>
        <v/>
      </c>
      <c r="C59" s="8">
        <f>0</f>
        <v/>
      </c>
      <c r="D59" s="8">
        <f>MIN($B$7,$B$6*D51)</f>
        <v/>
      </c>
      <c r="E59" s="8">
        <f>MIN($B$7,$B$6*E51)</f>
        <v/>
      </c>
      <c r="F59" s="8">
        <f>MIN($B$7,$B$6*F51)</f>
        <v/>
      </c>
      <c r="G59" s="8">
        <f>MIN($B$7,$B$6*G51)</f>
        <v/>
      </c>
    </row>
    <row r="60">
      <c r="A60" s="2" t="inlineStr">
        <is>
          <t>Costs</t>
        </is>
      </c>
      <c r="B60" s="8">
        <f>SUM(B53:B59)</f>
        <v/>
      </c>
      <c r="C60" s="8">
        <f>SUM(C53:C59)</f>
        <v/>
      </c>
      <c r="D60" s="8">
        <f>SUM(D53:D59)</f>
        <v/>
      </c>
      <c r="E60" s="8">
        <f>SUM(E53:E59)</f>
        <v/>
      </c>
      <c r="F60" s="8">
        <f>SUM(F53:F59)</f>
        <v/>
      </c>
      <c r="G60" s="8">
        <f>SUM(G53:G59)</f>
        <v/>
      </c>
    </row>
    <row r="61">
      <c r="A61" s="2" t="inlineStr">
        <is>
          <t>Profit / loss</t>
        </is>
      </c>
      <c r="B61" s="8">
        <f>B52-B60</f>
        <v/>
      </c>
      <c r="C61" s="8">
        <f>C52-C60</f>
        <v/>
      </c>
      <c r="D61" s="8">
        <f>D52-D60</f>
        <v/>
      </c>
      <c r="E61" s="8">
        <f>E52-E60</f>
        <v/>
      </c>
      <c r="F61" s="8">
        <f>F52-F60</f>
        <v/>
      </c>
      <c r="G61" s="8">
        <f>G52-G60</f>
        <v/>
      </c>
    </row>
    <row r="62">
      <c r="A62" t="inlineStr">
        <is>
          <t>P/L without AI tokens</t>
        </is>
      </c>
      <c r="B62" s="8">
        <f>B61+B54</f>
        <v/>
      </c>
      <c r="C62" s="8">
        <f>C61+C54</f>
        <v/>
      </c>
      <c r="D62" s="8">
        <f>D61+D54</f>
        <v/>
      </c>
      <c r="E62" s="8">
        <f>E61+E54</f>
        <v/>
      </c>
      <c r="F62" s="8">
        <f>F61+F54</f>
        <v/>
      </c>
      <c r="G62" s="8">
        <f>G61+G54</f>
        <v/>
      </c>
    </row>
    <row r="63">
      <c r="A63" t="inlineStr">
        <is>
          <t>Cumulative P/L</t>
        </is>
      </c>
      <c r="B63" s="8">
        <f>B61</f>
        <v/>
      </c>
      <c r="C63" s="8">
        <f>B63+C61</f>
        <v/>
      </c>
      <c r="D63" s="8">
        <f>C63+D61</f>
        <v/>
      </c>
      <c r="E63" s="8">
        <f>D63+E61</f>
        <v/>
      </c>
      <c r="F63" s="8">
        <f>E63+F61</f>
        <v/>
      </c>
      <c r="G63" s="8">
        <f>F63+G61</f>
        <v/>
      </c>
    </row>
    <row r="64">
      <c r="A64" s="2" t="inlineStr">
        <is>
          <t>Break-even month</t>
        </is>
      </c>
      <c r="B64">
        <f>IFERROR(INDEX($B$49:$G$49,MATCH(TRUE,INDEX($B$61:$G$61&gt;=0,0),0)),"Not in 6 months")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0" customWidth="1" min="3" max="3"/>
  </cols>
  <sheetData>
    <row r="1">
      <c r="A1" s="1" t="inlineStr">
        <is>
          <t>Bucket (Budget v3: ₹10,000 a month, 2026-10-04)</t>
        </is>
      </c>
      <c r="B1" s="1" t="inlineStr">
        <is>
          <t>Cap per month (₹)</t>
        </is>
      </c>
      <c r="C1" s="1" t="inlineStr">
        <is>
          <t>Notes</t>
        </is>
      </c>
    </row>
    <row r="2">
      <c r="A2" t="inlineStr">
        <is>
          <t>Tech</t>
        </is>
      </c>
      <c r="B2" t="n">
        <v>0</v>
      </c>
      <c r="C2" t="inlineStr">
        <is>
          <t>₹0 now. Play ₹2,400 once (from buffer). Supabase Pro ₹2,900 only from 10 paying hostels, paid from revenue</t>
        </is>
      </c>
    </row>
    <row r="3">
      <c r="A3" t="inlineStr">
        <is>
          <t>AI tokens</t>
        </is>
      </c>
      <c r="B3" t="n">
        <v>2300</v>
      </c>
      <c r="C3" t="inlineStr">
        <is>
          <t>Pro-level Claude plan; fill your real bill</t>
        </is>
      </c>
    </row>
    <row r="4">
      <c r="A4" t="inlineStr">
        <is>
          <t>Rewards</t>
        </is>
      </c>
      <c r="B4" t="n">
        <v>1000</v>
      </c>
      <c r="C4" t="inlineStr">
        <is>
          <t>Cash referrals only; next-stay credits are invoice credits</t>
        </is>
      </c>
    </row>
    <row r="5">
      <c r="A5" t="inlineStr">
        <is>
          <t>Commission</t>
        </is>
      </c>
      <c r="B5" t="n">
        <v>1000</v>
      </c>
      <c r="C5" t="inlineStr">
        <is>
          <t>Hold pay for all partners. ₹200/paying owner is paid from that owner's payment</t>
        </is>
      </c>
    </row>
    <row r="6">
      <c r="A6" t="inlineStr">
        <is>
          <t>Print</t>
        </is>
      </c>
      <c r="B6" t="n">
        <v>1500</v>
      </c>
      <c r="C6" t="inlineStr">
        <is>
          <t>~10 hostels × ₹150</t>
        </is>
      </c>
    </row>
    <row r="7">
      <c r="A7" t="inlineStr">
        <is>
          <t>Travel</t>
        </is>
      </c>
      <c r="B7" t="n">
        <v>2000</v>
      </c>
      <c r="C7" t="inlineStr">
        <is>
          <t>Owner visits</t>
        </is>
      </c>
    </row>
    <row r="8">
      <c r="A8" t="inlineStr">
        <is>
          <t>Ads</t>
        </is>
      </c>
      <c r="B8" t="n">
        <v>0</v>
      </c>
      <c r="C8" t="inlineStr">
        <is>
          <t>Free reels only</t>
        </is>
      </c>
    </row>
    <row r="9">
      <c r="A9" t="inlineStr">
        <is>
          <t>Reserve</t>
        </is>
      </c>
      <c r="B9" t="n">
        <v>2200</v>
      </c>
      <c r="C9" t="inlineStr">
        <is>
          <t>Buffer: pays Play in Oct, then rolls over</t>
        </is>
      </c>
    </row>
    <row r="10">
      <c r="A10" s="2" t="inlineStr">
        <is>
          <t>Total</t>
        </is>
      </c>
      <c r="B10" s="2">
        <f>SUM(B2:B9)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20" customWidth="1" min="5" max="5"/>
    <col width="12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Month (auto)</t>
        </is>
      </c>
      <c r="C1" s="1" t="inlineStr">
        <is>
          <t>Type</t>
        </is>
      </c>
      <c r="D1" s="1" t="inlineStr">
        <is>
          <t>Hostel</t>
        </is>
      </c>
      <c r="E1" s="1" t="inlineStr">
        <is>
          <t>Plan (₹499/₹999/₹1,499)</t>
        </is>
      </c>
      <c r="F1" s="1" t="inlineStr">
        <is>
          <t>Amount (₹)</t>
        </is>
      </c>
      <c r="G1" s="1" t="inlineStr">
        <is>
          <t>UTR</t>
        </is>
      </c>
      <c r="H1" s="1" t="inlineStr">
        <is>
          <t>Invoice no.</t>
        </is>
      </c>
      <c r="I1" s="1" t="inlineStr">
        <is>
          <t>Checked in bank? (Y/N)</t>
        </is>
      </c>
    </row>
    <row r="2">
      <c r="B2">
        <f>IF(A2="","",TEXT(A2,"yyyy-mm"))</f>
        <v/>
      </c>
    </row>
    <row r="3">
      <c r="B3">
        <f>IF(A3="","",TEXT(A3,"yyyy-mm"))</f>
        <v/>
      </c>
    </row>
    <row r="4">
      <c r="B4">
        <f>IF(A4="","",TEXT(A4,"yyyy-mm"))</f>
        <v/>
      </c>
    </row>
    <row r="5">
      <c r="B5">
        <f>IF(A5="","",TEXT(A5,"yyyy-mm"))</f>
        <v/>
      </c>
    </row>
    <row r="6">
      <c r="B6">
        <f>IF(A6="","",TEXT(A6,"yyyy-mm"))</f>
        <v/>
      </c>
    </row>
    <row r="7">
      <c r="B7">
        <f>IF(A7="","",TEXT(A7,"yyyy-mm"))</f>
        <v/>
      </c>
    </row>
    <row r="8">
      <c r="B8">
        <f>IF(A8="","",TEXT(A8,"yyyy-mm"))</f>
        <v/>
      </c>
    </row>
    <row r="9">
      <c r="B9">
        <f>IF(A9="","",TEXT(A9,"yyyy-mm"))</f>
        <v/>
      </c>
    </row>
    <row r="10">
      <c r="B10">
        <f>IF(A10="","",TEXT(A10,"yyyy-mm"))</f>
        <v/>
      </c>
    </row>
    <row r="11">
      <c r="B11">
        <f>IF(A11="","",TEXT(A11,"yyyy-mm"))</f>
        <v/>
      </c>
    </row>
    <row r="12">
      <c r="B12">
        <f>IF(A12="","",TEXT(A12,"yyyy-mm"))</f>
        <v/>
      </c>
    </row>
    <row r="13">
      <c r="B13">
        <f>IF(A13="","",TEXT(A13,"yyyy-mm"))</f>
        <v/>
      </c>
    </row>
    <row r="14">
      <c r="B14">
        <f>IF(A14="","",TEXT(A14,"yyyy-mm"))</f>
        <v/>
      </c>
    </row>
    <row r="15">
      <c r="B15">
        <f>IF(A15="","",TEXT(A15,"yyyy-mm"))</f>
        <v/>
      </c>
    </row>
    <row r="16">
      <c r="B16">
        <f>IF(A16="","",TEXT(A16,"yyyy-mm"))</f>
        <v/>
      </c>
    </row>
    <row r="17">
      <c r="B17">
        <f>IF(A17="","",TEXT(A17,"yyyy-mm"))</f>
        <v/>
      </c>
    </row>
    <row r="18">
      <c r="B18">
        <f>IF(A18="","",TEXT(A18,"yyyy-mm"))</f>
        <v/>
      </c>
    </row>
    <row r="19">
      <c r="B19">
        <f>IF(A19="","",TEXT(A19,"yyyy-mm"))</f>
        <v/>
      </c>
    </row>
    <row r="20">
      <c r="B20">
        <f>IF(A20="","",TEXT(A20,"yyyy-mm"))</f>
        <v/>
      </c>
    </row>
    <row r="21">
      <c r="B21">
        <f>IF(A21="","",TEXT(A21,"yyyy-mm"))</f>
        <v/>
      </c>
    </row>
    <row r="22">
      <c r="B22">
        <f>IF(A22="","",TEXT(A22,"yyyy-mm"))</f>
        <v/>
      </c>
    </row>
    <row r="23">
      <c r="B23">
        <f>IF(A23="","",TEXT(A23,"yyyy-mm"))</f>
        <v/>
      </c>
    </row>
    <row r="24">
      <c r="B24">
        <f>IF(A24="","",TEXT(A24,"yyyy-mm"))</f>
        <v/>
      </c>
    </row>
    <row r="25">
      <c r="B25">
        <f>IF(A25="","",TEXT(A25,"yyyy-mm"))</f>
        <v/>
      </c>
    </row>
    <row r="26">
      <c r="B26">
        <f>IF(A26="","",TEXT(A26,"yyyy-mm"))</f>
        <v/>
      </c>
    </row>
    <row r="27">
      <c r="B27">
        <f>IF(A27="","",TEXT(A27,"yyyy-mm"))</f>
        <v/>
      </c>
    </row>
    <row r="28">
      <c r="B28">
        <f>IF(A28="","",TEXT(A28,"yyyy-mm"))</f>
        <v/>
      </c>
    </row>
    <row r="29">
      <c r="B29">
        <f>IF(A29="","",TEXT(A29,"yyyy-mm"))</f>
        <v/>
      </c>
    </row>
    <row r="30">
      <c r="B30">
        <f>IF(A30="","",TEXT(A30,"yyyy-mm"))</f>
        <v/>
      </c>
    </row>
    <row r="31">
      <c r="B31">
        <f>IF(A31="","",TEXT(A31,"yyyy-mm"))</f>
        <v/>
      </c>
    </row>
    <row r="32">
      <c r="B32">
        <f>IF(A32="","",TEXT(A32,"yyyy-mm"))</f>
        <v/>
      </c>
    </row>
    <row r="33">
      <c r="B33">
        <f>IF(A33="","",TEXT(A33,"yyyy-mm"))</f>
        <v/>
      </c>
    </row>
    <row r="34">
      <c r="B34">
        <f>IF(A34="","",TEXT(A34,"yyyy-mm"))</f>
        <v/>
      </c>
    </row>
    <row r="35">
      <c r="B35">
        <f>IF(A35="","",TEXT(A35,"yyyy-mm"))</f>
        <v/>
      </c>
    </row>
    <row r="36">
      <c r="B36">
        <f>IF(A36="","",TEXT(A36,"yyyy-mm"))</f>
        <v/>
      </c>
    </row>
    <row r="37">
      <c r="B37">
        <f>IF(A37="","",TEXT(A37,"yyyy-mm"))</f>
        <v/>
      </c>
    </row>
    <row r="38">
      <c r="B38">
        <f>IF(A38="","",TEXT(A38,"yyyy-mm"))</f>
        <v/>
      </c>
    </row>
    <row r="39">
      <c r="B39">
        <f>IF(A39="","",TEXT(A39,"yyyy-mm"))</f>
        <v/>
      </c>
    </row>
    <row r="40">
      <c r="B40">
        <f>IF(A40="","",TEXT(A40,"yyyy-mm"))</f>
        <v/>
      </c>
    </row>
    <row r="41">
      <c r="B41">
        <f>IF(A41="","",TEXT(A41,"yyyy-mm"))</f>
        <v/>
      </c>
    </row>
    <row r="42">
      <c r="B42">
        <f>IF(A42="","",TEXT(A42,"yyyy-mm"))</f>
        <v/>
      </c>
    </row>
    <row r="43">
      <c r="B43">
        <f>IF(A43="","",TEXT(A43,"yyyy-mm"))</f>
        <v/>
      </c>
    </row>
    <row r="44">
      <c r="B44">
        <f>IF(A44="","",TEXT(A44,"yyyy-mm"))</f>
        <v/>
      </c>
    </row>
    <row r="45">
      <c r="B45">
        <f>IF(A45="","",TEXT(A45,"yyyy-mm"))</f>
        <v/>
      </c>
    </row>
    <row r="46">
      <c r="B46">
        <f>IF(A46="","",TEXT(A46,"yyyy-mm"))</f>
        <v/>
      </c>
    </row>
    <row r="47">
      <c r="B47">
        <f>IF(A47="","",TEXT(A47,"yyyy-mm"))</f>
        <v/>
      </c>
    </row>
    <row r="48">
      <c r="B48">
        <f>IF(A48="","",TEXT(A48,"yyyy-mm"))</f>
        <v/>
      </c>
    </row>
    <row r="49">
      <c r="B49">
        <f>IF(A49="","",TEXT(A49,"yyyy-mm"))</f>
        <v/>
      </c>
    </row>
    <row r="50">
      <c r="B50">
        <f>IF(A50="","",TEXT(A50,"yyyy-mm"))</f>
        <v/>
      </c>
    </row>
    <row r="51">
      <c r="B51">
        <f>IF(A51="","",TEXT(A51,"yyyy-mm"))</f>
        <v/>
      </c>
    </row>
    <row r="52">
      <c r="B52">
        <f>IF(A52="","",TEXT(A52,"yyyy-mm"))</f>
        <v/>
      </c>
    </row>
    <row r="53">
      <c r="B53">
        <f>IF(A53="","",TEXT(A53,"yyyy-mm"))</f>
        <v/>
      </c>
    </row>
    <row r="54">
      <c r="B54">
        <f>IF(A54="","",TEXT(A54,"yyyy-mm"))</f>
        <v/>
      </c>
    </row>
    <row r="55">
      <c r="B55">
        <f>IF(A55="","",TEXT(A55,"yyyy-mm"))</f>
        <v/>
      </c>
    </row>
    <row r="56">
      <c r="B56">
        <f>IF(A56="","",TEXT(A56,"yyyy-mm"))</f>
        <v/>
      </c>
    </row>
    <row r="57">
      <c r="B57">
        <f>IF(A57="","",TEXT(A57,"yyyy-mm"))</f>
        <v/>
      </c>
    </row>
    <row r="58">
      <c r="B58">
        <f>IF(A58="","",TEXT(A58,"yyyy-mm"))</f>
        <v/>
      </c>
    </row>
    <row r="59">
      <c r="B59">
        <f>IF(A59="","",TEXT(A59,"yyyy-mm"))</f>
        <v/>
      </c>
    </row>
    <row r="60">
      <c r="B60">
        <f>IF(A60="","",TEXT(A60,"yyyy-mm"))</f>
        <v/>
      </c>
    </row>
    <row r="61">
      <c r="B61">
        <f>IF(A61="","",TEXT(A61,"yyyy-mm"))</f>
        <v/>
      </c>
    </row>
    <row r="62">
      <c r="B62">
        <f>IF(A62="","",TEXT(A62,"yyyy-mm"))</f>
        <v/>
      </c>
    </row>
    <row r="63">
      <c r="B63">
        <f>IF(A63="","",TEXT(A63,"yyyy-mm"))</f>
        <v/>
      </c>
    </row>
    <row r="64">
      <c r="B64">
        <f>IF(A64="","",TEXT(A64,"yyyy-mm"))</f>
        <v/>
      </c>
    </row>
    <row r="65">
      <c r="B65">
        <f>IF(A65="","",TEXT(A65,"yyyy-mm"))</f>
        <v/>
      </c>
    </row>
    <row r="66">
      <c r="B66">
        <f>IF(A66="","",TEXT(A66,"yyyy-mm"))</f>
        <v/>
      </c>
    </row>
    <row r="67">
      <c r="B67">
        <f>IF(A67="","",TEXT(A67,"yyyy-mm"))</f>
        <v/>
      </c>
    </row>
    <row r="68">
      <c r="B68">
        <f>IF(A68="","",TEXT(A68,"yyyy-mm"))</f>
        <v/>
      </c>
    </row>
    <row r="69">
      <c r="B69">
        <f>IF(A69="","",TEXT(A69,"yyyy-mm"))</f>
        <v/>
      </c>
    </row>
    <row r="70">
      <c r="B70">
        <f>IF(A70="","",TEXT(A70,"yyyy-mm"))</f>
        <v/>
      </c>
    </row>
    <row r="71">
      <c r="B71">
        <f>IF(A71="","",TEXT(A71,"yyyy-mm"))</f>
        <v/>
      </c>
    </row>
    <row r="72">
      <c r="B72">
        <f>IF(A72="","",TEXT(A72,"yyyy-mm"))</f>
        <v/>
      </c>
    </row>
    <row r="73">
      <c r="B73">
        <f>IF(A73="","",TEXT(A73,"yyyy-mm"))</f>
        <v/>
      </c>
    </row>
    <row r="74">
      <c r="B74">
        <f>IF(A74="","",TEXT(A74,"yyyy-mm"))</f>
        <v/>
      </c>
    </row>
    <row r="75">
      <c r="B75">
        <f>IF(A75="","",TEXT(A75,"yyyy-mm"))</f>
        <v/>
      </c>
    </row>
    <row r="76">
      <c r="B76">
        <f>IF(A76="","",TEXT(A76,"yyyy-mm"))</f>
        <v/>
      </c>
    </row>
    <row r="77">
      <c r="B77">
        <f>IF(A77="","",TEXT(A77,"yyyy-mm"))</f>
        <v/>
      </c>
    </row>
    <row r="78">
      <c r="B78">
        <f>IF(A78="","",TEXT(A78,"yyyy-mm"))</f>
        <v/>
      </c>
    </row>
    <row r="79">
      <c r="B79">
        <f>IF(A79="","",TEXT(A79,"yyyy-mm"))</f>
        <v/>
      </c>
    </row>
    <row r="80">
      <c r="B80">
        <f>IF(A80="","",TEXT(A80,"yyyy-mm"))</f>
        <v/>
      </c>
    </row>
    <row r="81">
      <c r="B81">
        <f>IF(A81="","",TEXT(A81,"yyyy-mm"))</f>
        <v/>
      </c>
    </row>
    <row r="82">
      <c r="B82">
        <f>IF(A82="","",TEXT(A82,"yyyy-mm"))</f>
        <v/>
      </c>
    </row>
    <row r="83">
      <c r="B83">
        <f>IF(A83="","",TEXT(A83,"yyyy-mm"))</f>
        <v/>
      </c>
    </row>
    <row r="84">
      <c r="B84">
        <f>IF(A84="","",TEXT(A84,"yyyy-mm"))</f>
        <v/>
      </c>
    </row>
    <row r="85">
      <c r="B85">
        <f>IF(A85="","",TEXT(A85,"yyyy-mm"))</f>
        <v/>
      </c>
    </row>
    <row r="86">
      <c r="B86">
        <f>IF(A86="","",TEXT(A86,"yyyy-mm"))</f>
        <v/>
      </c>
    </row>
    <row r="87">
      <c r="B87">
        <f>IF(A87="","",TEXT(A87,"yyyy-mm"))</f>
        <v/>
      </c>
    </row>
    <row r="88">
      <c r="B88">
        <f>IF(A88="","",TEXT(A88,"yyyy-mm"))</f>
        <v/>
      </c>
    </row>
    <row r="89">
      <c r="B89">
        <f>IF(A89="","",TEXT(A89,"yyyy-mm"))</f>
        <v/>
      </c>
    </row>
    <row r="90">
      <c r="B90">
        <f>IF(A90="","",TEXT(A90,"yyyy-mm"))</f>
        <v/>
      </c>
    </row>
    <row r="91">
      <c r="B91">
        <f>IF(A91="","",TEXT(A91,"yyyy-mm"))</f>
        <v/>
      </c>
    </row>
    <row r="92">
      <c r="B92">
        <f>IF(A92="","",TEXT(A92,"yyyy-mm"))</f>
        <v/>
      </c>
    </row>
    <row r="93">
      <c r="B93">
        <f>IF(A93="","",TEXT(A93,"yyyy-mm"))</f>
        <v/>
      </c>
    </row>
    <row r="94">
      <c r="B94">
        <f>IF(A94="","",TEXT(A94,"yyyy-mm"))</f>
        <v/>
      </c>
    </row>
    <row r="95">
      <c r="B95">
        <f>IF(A95="","",TEXT(A95,"yyyy-mm"))</f>
        <v/>
      </c>
    </row>
    <row r="96">
      <c r="B96">
        <f>IF(A96="","",TEXT(A96,"yyyy-mm"))</f>
        <v/>
      </c>
    </row>
    <row r="97">
      <c r="B97">
        <f>IF(A97="","",TEXT(A97,"yyyy-mm"))</f>
        <v/>
      </c>
    </row>
    <row r="98">
      <c r="B98">
        <f>IF(A98="","",TEXT(A98,"yyyy-mm"))</f>
        <v/>
      </c>
    </row>
    <row r="99">
      <c r="B99">
        <f>IF(A99="","",TEXT(A99,"yyyy-mm"))</f>
        <v/>
      </c>
    </row>
    <row r="100">
      <c r="B100">
        <f>IF(A100="","",TEXT(A100,"yyyy-mm"))</f>
        <v/>
      </c>
    </row>
    <row r="101">
      <c r="B101">
        <f>IF(A101="","",TEXT(A101,"yyyy-mm"))</f>
        <v/>
      </c>
    </row>
    <row r="102">
      <c r="B102">
        <f>IF(A102="","",TEXT(A102,"yyyy-mm"))</f>
        <v/>
      </c>
    </row>
    <row r="103">
      <c r="B103">
        <f>IF(A103="","",TEXT(A103,"yyyy-mm"))</f>
        <v/>
      </c>
    </row>
    <row r="104">
      <c r="B104">
        <f>IF(A104="","",TEXT(A104,"yyyy-mm"))</f>
        <v/>
      </c>
    </row>
    <row r="105">
      <c r="B105">
        <f>IF(A105="","",TEXT(A105,"yyyy-mm"))</f>
        <v/>
      </c>
    </row>
    <row r="106">
      <c r="B106">
        <f>IF(A106="","",TEXT(A106,"yyyy-mm"))</f>
        <v/>
      </c>
    </row>
    <row r="107">
      <c r="B107">
        <f>IF(A107="","",TEXT(A107,"yyyy-mm"))</f>
        <v/>
      </c>
    </row>
    <row r="108">
      <c r="B108">
        <f>IF(A108="","",TEXT(A108,"yyyy-mm"))</f>
        <v/>
      </c>
    </row>
    <row r="109">
      <c r="B109">
        <f>IF(A109="","",TEXT(A109,"yyyy-mm"))</f>
        <v/>
      </c>
    </row>
    <row r="110">
      <c r="B110">
        <f>IF(A110="","",TEXT(A110,"yyyy-mm"))</f>
        <v/>
      </c>
    </row>
    <row r="111">
      <c r="B111">
        <f>IF(A111="","",TEXT(A111,"yyyy-mm"))</f>
        <v/>
      </c>
    </row>
    <row r="112">
      <c r="B112">
        <f>IF(A112="","",TEXT(A112,"yyyy-mm"))</f>
        <v/>
      </c>
    </row>
    <row r="113">
      <c r="B113">
        <f>IF(A113="","",TEXT(A113,"yyyy-mm"))</f>
        <v/>
      </c>
    </row>
    <row r="114">
      <c r="B114">
        <f>IF(A114="","",TEXT(A114,"yyyy-mm"))</f>
        <v/>
      </c>
    </row>
    <row r="115">
      <c r="B115">
        <f>IF(A115="","",TEXT(A115,"yyyy-mm"))</f>
        <v/>
      </c>
    </row>
    <row r="116">
      <c r="B116">
        <f>IF(A116="","",TEXT(A116,"yyyy-mm"))</f>
        <v/>
      </c>
    </row>
    <row r="117">
      <c r="B117">
        <f>IF(A117="","",TEXT(A117,"yyyy-mm"))</f>
        <v/>
      </c>
    </row>
    <row r="118">
      <c r="B118">
        <f>IF(A118="","",TEXT(A118,"yyyy-mm"))</f>
        <v/>
      </c>
    </row>
    <row r="119">
      <c r="B119">
        <f>IF(A119="","",TEXT(A119,"yyyy-mm"))</f>
        <v/>
      </c>
    </row>
    <row r="120">
      <c r="B120">
        <f>IF(A120="","",TEXT(A120,"yyyy-mm"))</f>
        <v/>
      </c>
    </row>
    <row r="121">
      <c r="B121">
        <f>IF(A121="","",TEXT(A121,"yyyy-mm"))</f>
        <v/>
      </c>
    </row>
    <row r="122">
      <c r="B122">
        <f>IF(A122="","",TEXT(A122,"yyyy-mm"))</f>
        <v/>
      </c>
    </row>
    <row r="123">
      <c r="B123">
        <f>IF(A123="","",TEXT(A123,"yyyy-mm"))</f>
        <v/>
      </c>
    </row>
    <row r="124">
      <c r="B124">
        <f>IF(A124="","",TEXT(A124,"yyyy-mm"))</f>
        <v/>
      </c>
    </row>
    <row r="125">
      <c r="B125">
        <f>IF(A125="","",TEXT(A125,"yyyy-mm"))</f>
        <v/>
      </c>
    </row>
    <row r="126">
      <c r="B126">
        <f>IF(A126="","",TEXT(A126,"yyyy-mm"))</f>
        <v/>
      </c>
    </row>
    <row r="127">
      <c r="B127">
        <f>IF(A127="","",TEXT(A127,"yyyy-mm"))</f>
        <v/>
      </c>
    </row>
    <row r="128">
      <c r="B128">
        <f>IF(A128="","",TEXT(A128,"yyyy-mm"))</f>
        <v/>
      </c>
    </row>
    <row r="129">
      <c r="B129">
        <f>IF(A129="","",TEXT(A129,"yyyy-mm"))</f>
        <v/>
      </c>
    </row>
    <row r="130">
      <c r="B130">
        <f>IF(A130="","",TEXT(A130,"yyyy-mm"))</f>
        <v/>
      </c>
    </row>
    <row r="131">
      <c r="B131">
        <f>IF(A131="","",TEXT(A131,"yyyy-mm"))</f>
        <v/>
      </c>
    </row>
    <row r="132">
      <c r="B132">
        <f>IF(A132="","",TEXT(A132,"yyyy-mm"))</f>
        <v/>
      </c>
    </row>
    <row r="133">
      <c r="B133">
        <f>IF(A133="","",TEXT(A133,"yyyy-mm"))</f>
        <v/>
      </c>
    </row>
    <row r="134">
      <c r="B134">
        <f>IF(A134="","",TEXT(A134,"yyyy-mm"))</f>
        <v/>
      </c>
    </row>
    <row r="135">
      <c r="B135">
        <f>IF(A135="","",TEXT(A135,"yyyy-mm"))</f>
        <v/>
      </c>
    </row>
    <row r="136">
      <c r="B136">
        <f>IF(A136="","",TEXT(A136,"yyyy-mm"))</f>
        <v/>
      </c>
    </row>
    <row r="137">
      <c r="B137">
        <f>IF(A137="","",TEXT(A137,"yyyy-mm"))</f>
        <v/>
      </c>
    </row>
    <row r="138">
      <c r="B138">
        <f>IF(A138="","",TEXT(A138,"yyyy-mm"))</f>
        <v/>
      </c>
    </row>
    <row r="139">
      <c r="B139">
        <f>IF(A139="","",TEXT(A139,"yyyy-mm"))</f>
        <v/>
      </c>
    </row>
    <row r="140">
      <c r="B140">
        <f>IF(A140="","",TEXT(A140,"yyyy-mm"))</f>
        <v/>
      </c>
    </row>
    <row r="141">
      <c r="B141">
        <f>IF(A141="","",TEXT(A141,"yyyy-mm"))</f>
        <v/>
      </c>
    </row>
    <row r="142">
      <c r="B142">
        <f>IF(A142="","",TEXT(A142,"yyyy-mm"))</f>
        <v/>
      </c>
    </row>
    <row r="143">
      <c r="B143">
        <f>IF(A143="","",TEXT(A143,"yyyy-mm"))</f>
        <v/>
      </c>
    </row>
    <row r="144">
      <c r="B144">
        <f>IF(A144="","",TEXT(A144,"yyyy-mm"))</f>
        <v/>
      </c>
    </row>
    <row r="145">
      <c r="B145">
        <f>IF(A145="","",TEXT(A145,"yyyy-mm"))</f>
        <v/>
      </c>
    </row>
    <row r="146">
      <c r="B146">
        <f>IF(A146="","",TEXT(A146,"yyyy-mm"))</f>
        <v/>
      </c>
    </row>
    <row r="147">
      <c r="B147">
        <f>IF(A147="","",TEXT(A147,"yyyy-mm"))</f>
        <v/>
      </c>
    </row>
    <row r="148">
      <c r="B148">
        <f>IF(A148="","",TEXT(A148,"yyyy-mm"))</f>
        <v/>
      </c>
    </row>
    <row r="149">
      <c r="B149">
        <f>IF(A149="","",TEXT(A149,"yyyy-mm"))</f>
        <v/>
      </c>
    </row>
    <row r="150">
      <c r="B150">
        <f>IF(A150="","",TEXT(A150,"yyyy-mm"))</f>
        <v/>
      </c>
    </row>
    <row r="151">
      <c r="B151">
        <f>IF(A151="","",TEXT(A151,"yyyy-mm"))</f>
        <v/>
      </c>
    </row>
    <row r="152">
      <c r="B152">
        <f>IF(A152="","",TEXT(A152,"yyyy-mm"))</f>
        <v/>
      </c>
    </row>
    <row r="153">
      <c r="B153">
        <f>IF(A153="","",TEXT(A153,"yyyy-mm"))</f>
        <v/>
      </c>
    </row>
    <row r="154">
      <c r="B154">
        <f>IF(A154="","",TEXT(A154,"yyyy-mm"))</f>
        <v/>
      </c>
    </row>
    <row r="155">
      <c r="B155">
        <f>IF(A155="","",TEXT(A155,"yyyy-mm"))</f>
        <v/>
      </c>
    </row>
    <row r="156">
      <c r="B156">
        <f>IF(A156="","",TEXT(A156,"yyyy-mm"))</f>
        <v/>
      </c>
    </row>
    <row r="157">
      <c r="B157">
        <f>IF(A157="","",TEXT(A157,"yyyy-mm"))</f>
        <v/>
      </c>
    </row>
    <row r="158">
      <c r="B158">
        <f>IF(A158="","",TEXT(A158,"yyyy-mm"))</f>
        <v/>
      </c>
    </row>
    <row r="159">
      <c r="B159">
        <f>IF(A159="","",TEXT(A159,"yyyy-mm"))</f>
        <v/>
      </c>
    </row>
    <row r="160">
      <c r="B160">
        <f>IF(A160="","",TEXT(A160,"yyyy-mm"))</f>
        <v/>
      </c>
    </row>
    <row r="161">
      <c r="B161">
        <f>IF(A161="","",TEXT(A161,"yyyy-mm"))</f>
        <v/>
      </c>
    </row>
    <row r="162">
      <c r="B162">
        <f>IF(A162="","",TEXT(A162,"yyyy-mm"))</f>
        <v/>
      </c>
    </row>
    <row r="163">
      <c r="B163">
        <f>IF(A163="","",TEXT(A163,"yyyy-mm"))</f>
        <v/>
      </c>
    </row>
    <row r="164">
      <c r="B164">
        <f>IF(A164="","",TEXT(A164,"yyyy-mm"))</f>
        <v/>
      </c>
    </row>
    <row r="165">
      <c r="B165">
        <f>IF(A165="","",TEXT(A165,"yyyy-mm"))</f>
        <v/>
      </c>
    </row>
    <row r="166">
      <c r="B166">
        <f>IF(A166="","",TEXT(A166,"yyyy-mm"))</f>
        <v/>
      </c>
    </row>
    <row r="167">
      <c r="B167">
        <f>IF(A167="","",TEXT(A167,"yyyy-mm"))</f>
        <v/>
      </c>
    </row>
    <row r="168">
      <c r="B168">
        <f>IF(A168="","",TEXT(A168,"yyyy-mm"))</f>
        <v/>
      </c>
    </row>
    <row r="169">
      <c r="B169">
        <f>IF(A169="","",TEXT(A169,"yyyy-mm"))</f>
        <v/>
      </c>
    </row>
    <row r="170">
      <c r="B170">
        <f>IF(A170="","",TEXT(A170,"yyyy-mm"))</f>
        <v/>
      </c>
    </row>
    <row r="171">
      <c r="B171">
        <f>IF(A171="","",TEXT(A171,"yyyy-mm"))</f>
        <v/>
      </c>
    </row>
    <row r="172">
      <c r="B172">
        <f>IF(A172="","",TEXT(A172,"yyyy-mm"))</f>
        <v/>
      </c>
    </row>
    <row r="173">
      <c r="B173">
        <f>IF(A173="","",TEXT(A173,"yyyy-mm"))</f>
        <v/>
      </c>
    </row>
    <row r="174">
      <c r="B174">
        <f>IF(A174="","",TEXT(A174,"yyyy-mm"))</f>
        <v/>
      </c>
    </row>
    <row r="175">
      <c r="B175">
        <f>IF(A175="","",TEXT(A175,"yyyy-mm"))</f>
        <v/>
      </c>
    </row>
    <row r="176">
      <c r="B176">
        <f>IF(A176="","",TEXT(A176,"yyyy-mm"))</f>
        <v/>
      </c>
    </row>
    <row r="177">
      <c r="B177">
        <f>IF(A177="","",TEXT(A177,"yyyy-mm"))</f>
        <v/>
      </c>
    </row>
    <row r="178">
      <c r="B178">
        <f>IF(A178="","",TEXT(A178,"yyyy-mm"))</f>
        <v/>
      </c>
    </row>
    <row r="179">
      <c r="B179">
        <f>IF(A179="","",TEXT(A179,"yyyy-mm"))</f>
        <v/>
      </c>
    </row>
    <row r="180">
      <c r="B180">
        <f>IF(A180="","",TEXT(A180,"yyyy-mm"))</f>
        <v/>
      </c>
    </row>
    <row r="181">
      <c r="B181">
        <f>IF(A181="","",TEXT(A181,"yyyy-mm"))</f>
        <v/>
      </c>
    </row>
    <row r="182">
      <c r="B182">
        <f>IF(A182="","",TEXT(A182,"yyyy-mm"))</f>
        <v/>
      </c>
    </row>
    <row r="183">
      <c r="B183">
        <f>IF(A183="","",TEXT(A183,"yyyy-mm"))</f>
        <v/>
      </c>
    </row>
    <row r="184">
      <c r="B184">
        <f>IF(A184="","",TEXT(A184,"yyyy-mm"))</f>
        <v/>
      </c>
    </row>
    <row r="185">
      <c r="B185">
        <f>IF(A185="","",TEXT(A185,"yyyy-mm"))</f>
        <v/>
      </c>
    </row>
    <row r="186">
      <c r="B186">
        <f>IF(A186="","",TEXT(A186,"yyyy-mm"))</f>
        <v/>
      </c>
    </row>
    <row r="187">
      <c r="B187">
        <f>IF(A187="","",TEXT(A187,"yyyy-mm"))</f>
        <v/>
      </c>
    </row>
    <row r="188">
      <c r="B188">
        <f>IF(A188="","",TEXT(A188,"yyyy-mm"))</f>
        <v/>
      </c>
    </row>
    <row r="189">
      <c r="B189">
        <f>IF(A189="","",TEXT(A189,"yyyy-mm"))</f>
        <v/>
      </c>
    </row>
    <row r="190">
      <c r="B190">
        <f>IF(A190="","",TEXT(A190,"yyyy-mm"))</f>
        <v/>
      </c>
    </row>
    <row r="191">
      <c r="B191">
        <f>IF(A191="","",TEXT(A191,"yyyy-mm"))</f>
        <v/>
      </c>
    </row>
    <row r="192">
      <c r="B192">
        <f>IF(A192="","",TEXT(A192,"yyyy-mm"))</f>
        <v/>
      </c>
    </row>
    <row r="193">
      <c r="B193">
        <f>IF(A193="","",TEXT(A193,"yyyy-mm"))</f>
        <v/>
      </c>
    </row>
    <row r="194">
      <c r="B194">
        <f>IF(A194="","",TEXT(A194,"yyyy-mm"))</f>
        <v/>
      </c>
    </row>
    <row r="195">
      <c r="B195">
        <f>IF(A195="","",TEXT(A195,"yyyy-mm"))</f>
        <v/>
      </c>
    </row>
    <row r="196">
      <c r="B196">
        <f>IF(A196="","",TEXT(A196,"yyyy-mm"))</f>
        <v/>
      </c>
    </row>
    <row r="197">
      <c r="B197">
        <f>IF(A197="","",TEXT(A197,"yyyy-mm"))</f>
        <v/>
      </c>
    </row>
    <row r="198">
      <c r="B198">
        <f>IF(A198="","",TEXT(A198,"yyyy-mm"))</f>
        <v/>
      </c>
    </row>
    <row r="199">
      <c r="B199">
        <f>IF(A199="","",TEXT(A199,"yyyy-mm"))</f>
        <v/>
      </c>
    </row>
    <row r="200">
      <c r="B200">
        <f>IF(A200="","",TEXT(A200,"yyyy-mm"))</f>
        <v/>
      </c>
    </row>
    <row r="201">
      <c r="B201">
        <f>IF(A201="","",TEXT(A201,"yyyy-mm"))</f>
        <v/>
      </c>
    </row>
    <row r="202">
      <c r="B202">
        <f>IF(A202="","",TEXT(A202,"yyyy-mm"))</f>
        <v/>
      </c>
    </row>
    <row r="203">
      <c r="B203">
        <f>IF(A203="","",TEXT(A203,"yyyy-mm"))</f>
        <v/>
      </c>
    </row>
    <row r="204">
      <c r="B204">
        <f>IF(A204="","",TEXT(A204,"yyyy-mm"))</f>
        <v/>
      </c>
    </row>
    <row r="205">
      <c r="B205">
        <f>IF(A205="","",TEXT(A205,"yyyy-mm"))</f>
        <v/>
      </c>
    </row>
    <row r="206">
      <c r="B206">
        <f>IF(A206="","",TEXT(A206,"yyyy-mm"))</f>
        <v/>
      </c>
    </row>
    <row r="207">
      <c r="B207">
        <f>IF(A207="","",TEXT(A207,"yyyy-mm"))</f>
        <v/>
      </c>
    </row>
    <row r="208">
      <c r="B208">
        <f>IF(A208="","",TEXT(A208,"yyyy-mm"))</f>
        <v/>
      </c>
    </row>
    <row r="209">
      <c r="B209">
        <f>IF(A209="","",TEXT(A209,"yyyy-mm"))</f>
        <v/>
      </c>
    </row>
    <row r="210">
      <c r="B210">
        <f>IF(A210="","",TEXT(A210,"yyyy-mm"))</f>
        <v/>
      </c>
    </row>
    <row r="211">
      <c r="B211">
        <f>IF(A211="","",TEXT(A211,"yyyy-mm"))</f>
        <v/>
      </c>
    </row>
    <row r="212">
      <c r="B212">
        <f>IF(A212="","",TEXT(A212,"yyyy-mm"))</f>
        <v/>
      </c>
    </row>
    <row r="213">
      <c r="B213">
        <f>IF(A213="","",TEXT(A213,"yyyy-mm"))</f>
        <v/>
      </c>
    </row>
    <row r="214">
      <c r="B214">
        <f>IF(A214="","",TEXT(A214,"yyyy-mm"))</f>
        <v/>
      </c>
    </row>
    <row r="215">
      <c r="B215">
        <f>IF(A215="","",TEXT(A215,"yyyy-mm"))</f>
        <v/>
      </c>
    </row>
    <row r="216">
      <c r="B216">
        <f>IF(A216="","",TEXT(A216,"yyyy-mm"))</f>
        <v/>
      </c>
    </row>
    <row r="217">
      <c r="B217">
        <f>IF(A217="","",TEXT(A217,"yyyy-mm"))</f>
        <v/>
      </c>
    </row>
    <row r="218">
      <c r="B218">
        <f>IF(A218="","",TEXT(A218,"yyyy-mm"))</f>
        <v/>
      </c>
    </row>
    <row r="219">
      <c r="B219">
        <f>IF(A219="","",TEXT(A219,"yyyy-mm"))</f>
        <v/>
      </c>
    </row>
    <row r="220">
      <c r="B220">
        <f>IF(A220="","",TEXT(A220,"yyyy-mm"))</f>
        <v/>
      </c>
    </row>
    <row r="221">
      <c r="B221">
        <f>IF(A221="","",TEXT(A221,"yyyy-mm"))</f>
        <v/>
      </c>
    </row>
    <row r="222">
      <c r="B222">
        <f>IF(A222="","",TEXT(A222,"yyyy-mm"))</f>
        <v/>
      </c>
    </row>
    <row r="223">
      <c r="B223">
        <f>IF(A223="","",TEXT(A223,"yyyy-mm"))</f>
        <v/>
      </c>
    </row>
    <row r="224">
      <c r="B224">
        <f>IF(A224="","",TEXT(A224,"yyyy-mm"))</f>
        <v/>
      </c>
    </row>
    <row r="225">
      <c r="B225">
        <f>IF(A225="","",TEXT(A225,"yyyy-mm"))</f>
        <v/>
      </c>
    </row>
    <row r="226">
      <c r="B226">
        <f>IF(A226="","",TEXT(A226,"yyyy-mm"))</f>
        <v/>
      </c>
    </row>
    <row r="227">
      <c r="B227">
        <f>IF(A227="","",TEXT(A227,"yyyy-mm"))</f>
        <v/>
      </c>
    </row>
    <row r="228">
      <c r="B228">
        <f>IF(A228="","",TEXT(A228,"yyyy-mm"))</f>
        <v/>
      </c>
    </row>
    <row r="229">
      <c r="B229">
        <f>IF(A229="","",TEXT(A229,"yyyy-mm"))</f>
        <v/>
      </c>
    </row>
    <row r="230">
      <c r="B230">
        <f>IF(A230="","",TEXT(A230,"yyyy-mm"))</f>
        <v/>
      </c>
    </row>
    <row r="231">
      <c r="B231">
        <f>IF(A231="","",TEXT(A231,"yyyy-mm"))</f>
        <v/>
      </c>
    </row>
    <row r="232">
      <c r="B232">
        <f>IF(A232="","",TEXT(A232,"yyyy-mm"))</f>
        <v/>
      </c>
    </row>
    <row r="233">
      <c r="B233">
        <f>IF(A233="","",TEXT(A233,"yyyy-mm"))</f>
        <v/>
      </c>
    </row>
    <row r="234">
      <c r="B234">
        <f>IF(A234="","",TEXT(A234,"yyyy-mm"))</f>
        <v/>
      </c>
    </row>
    <row r="235">
      <c r="B235">
        <f>IF(A235="","",TEXT(A235,"yyyy-mm"))</f>
        <v/>
      </c>
    </row>
    <row r="236">
      <c r="B236">
        <f>IF(A236="","",TEXT(A236,"yyyy-mm"))</f>
        <v/>
      </c>
    </row>
    <row r="237">
      <c r="B237">
        <f>IF(A237="","",TEXT(A237,"yyyy-mm"))</f>
        <v/>
      </c>
    </row>
    <row r="238">
      <c r="B238">
        <f>IF(A238="","",TEXT(A238,"yyyy-mm"))</f>
        <v/>
      </c>
    </row>
    <row r="239">
      <c r="B239">
        <f>IF(A239="","",TEXT(A239,"yyyy-mm"))</f>
        <v/>
      </c>
    </row>
    <row r="240">
      <c r="B240">
        <f>IF(A240="","",TEXT(A240,"yyyy-mm"))</f>
        <v/>
      </c>
    </row>
    <row r="241">
      <c r="B241">
        <f>IF(A241="","",TEXT(A241,"yyyy-mm"))</f>
        <v/>
      </c>
    </row>
    <row r="242">
      <c r="B242">
        <f>IF(A242="","",TEXT(A242,"yyyy-mm"))</f>
        <v/>
      </c>
    </row>
    <row r="243">
      <c r="B243">
        <f>IF(A243="","",TEXT(A243,"yyyy-mm"))</f>
        <v/>
      </c>
    </row>
    <row r="244">
      <c r="B244">
        <f>IF(A244="","",TEXT(A244,"yyyy-mm"))</f>
        <v/>
      </c>
    </row>
    <row r="245">
      <c r="B245">
        <f>IF(A245="","",TEXT(A245,"yyyy-mm"))</f>
        <v/>
      </c>
    </row>
    <row r="246">
      <c r="B246">
        <f>IF(A246="","",TEXT(A246,"yyyy-mm"))</f>
        <v/>
      </c>
    </row>
    <row r="247">
      <c r="B247">
        <f>IF(A247="","",TEXT(A247,"yyyy-mm"))</f>
        <v/>
      </c>
    </row>
    <row r="248">
      <c r="B248">
        <f>IF(A248="","",TEXT(A248,"yyyy-mm"))</f>
        <v/>
      </c>
    </row>
    <row r="249">
      <c r="B249">
        <f>IF(A249="","",TEXT(A249,"yyyy-mm"))</f>
        <v/>
      </c>
    </row>
    <row r="250">
      <c r="B250">
        <f>IF(A250="","",TEXT(A250,"yyyy-mm"))</f>
        <v/>
      </c>
    </row>
    <row r="251">
      <c r="B251">
        <f>IF(A251="","",TEXT(A251,"yyyy-mm"))</f>
        <v/>
      </c>
    </row>
    <row r="252">
      <c r="B252">
        <f>IF(A252="","",TEXT(A252,"yyyy-mm"))</f>
        <v/>
      </c>
    </row>
    <row r="253">
      <c r="B253">
        <f>IF(A253="","",TEXT(A253,"yyyy-mm"))</f>
        <v/>
      </c>
    </row>
    <row r="254">
      <c r="B254">
        <f>IF(A254="","",TEXT(A254,"yyyy-mm"))</f>
        <v/>
      </c>
    </row>
    <row r="255">
      <c r="B255">
        <f>IF(A255="","",TEXT(A255,"yyyy-mm"))</f>
        <v/>
      </c>
    </row>
    <row r="256">
      <c r="B256">
        <f>IF(A256="","",TEXT(A256,"yyyy-mm"))</f>
        <v/>
      </c>
    </row>
    <row r="257">
      <c r="B257">
        <f>IF(A257="","",TEXT(A257,"yyyy-mm"))</f>
        <v/>
      </c>
    </row>
    <row r="258">
      <c r="B258">
        <f>IF(A258="","",TEXT(A258,"yyyy-mm"))</f>
        <v/>
      </c>
    </row>
    <row r="259">
      <c r="B259">
        <f>IF(A259="","",TEXT(A259,"yyyy-mm"))</f>
        <v/>
      </c>
    </row>
    <row r="260">
      <c r="B260">
        <f>IF(A260="","",TEXT(A260,"yyyy-mm"))</f>
        <v/>
      </c>
    </row>
    <row r="261">
      <c r="B261">
        <f>IF(A261="","",TEXT(A261,"yyyy-mm"))</f>
        <v/>
      </c>
    </row>
    <row r="262">
      <c r="B262">
        <f>IF(A262="","",TEXT(A262,"yyyy-mm"))</f>
        <v/>
      </c>
    </row>
    <row r="263">
      <c r="B263">
        <f>IF(A263="","",TEXT(A263,"yyyy-mm"))</f>
        <v/>
      </c>
    </row>
    <row r="264">
      <c r="B264">
        <f>IF(A264="","",TEXT(A264,"yyyy-mm"))</f>
        <v/>
      </c>
    </row>
    <row r="265">
      <c r="B265">
        <f>IF(A265="","",TEXT(A265,"yyyy-mm"))</f>
        <v/>
      </c>
    </row>
    <row r="266">
      <c r="B266">
        <f>IF(A266="","",TEXT(A266,"yyyy-mm"))</f>
        <v/>
      </c>
    </row>
    <row r="267">
      <c r="B267">
        <f>IF(A267="","",TEXT(A267,"yyyy-mm"))</f>
        <v/>
      </c>
    </row>
    <row r="268">
      <c r="B268">
        <f>IF(A268="","",TEXT(A268,"yyyy-mm"))</f>
        <v/>
      </c>
    </row>
    <row r="269">
      <c r="B269">
        <f>IF(A269="","",TEXT(A269,"yyyy-mm"))</f>
        <v/>
      </c>
    </row>
    <row r="270">
      <c r="B270">
        <f>IF(A270="","",TEXT(A270,"yyyy-mm"))</f>
        <v/>
      </c>
    </row>
    <row r="271">
      <c r="B271">
        <f>IF(A271="","",TEXT(A271,"yyyy-mm"))</f>
        <v/>
      </c>
    </row>
    <row r="272">
      <c r="B272">
        <f>IF(A272="","",TEXT(A272,"yyyy-mm"))</f>
        <v/>
      </c>
    </row>
    <row r="273">
      <c r="B273">
        <f>IF(A273="","",TEXT(A273,"yyyy-mm"))</f>
        <v/>
      </c>
    </row>
    <row r="274">
      <c r="B274">
        <f>IF(A274="","",TEXT(A274,"yyyy-mm"))</f>
        <v/>
      </c>
    </row>
    <row r="275">
      <c r="B275">
        <f>IF(A275="","",TEXT(A275,"yyyy-mm"))</f>
        <v/>
      </c>
    </row>
    <row r="276">
      <c r="B276">
        <f>IF(A276="","",TEXT(A276,"yyyy-mm"))</f>
        <v/>
      </c>
    </row>
    <row r="277">
      <c r="B277">
        <f>IF(A277="","",TEXT(A277,"yyyy-mm"))</f>
        <v/>
      </c>
    </row>
    <row r="278">
      <c r="B278">
        <f>IF(A278="","",TEXT(A278,"yyyy-mm"))</f>
        <v/>
      </c>
    </row>
    <row r="279">
      <c r="B279">
        <f>IF(A279="","",TEXT(A279,"yyyy-mm"))</f>
        <v/>
      </c>
    </row>
    <row r="280">
      <c r="B280">
        <f>IF(A280="","",TEXT(A280,"yyyy-mm"))</f>
        <v/>
      </c>
    </row>
    <row r="281">
      <c r="B281">
        <f>IF(A281="","",TEXT(A281,"yyyy-mm"))</f>
        <v/>
      </c>
    </row>
    <row r="282">
      <c r="B282">
        <f>IF(A282="","",TEXT(A282,"yyyy-mm"))</f>
        <v/>
      </c>
    </row>
    <row r="283">
      <c r="B283">
        <f>IF(A283="","",TEXT(A283,"yyyy-mm"))</f>
        <v/>
      </c>
    </row>
    <row r="284">
      <c r="B284">
        <f>IF(A284="","",TEXT(A284,"yyyy-mm"))</f>
        <v/>
      </c>
    </row>
    <row r="285">
      <c r="B285">
        <f>IF(A285="","",TEXT(A285,"yyyy-mm"))</f>
        <v/>
      </c>
    </row>
    <row r="286">
      <c r="B286">
        <f>IF(A286="","",TEXT(A286,"yyyy-mm"))</f>
        <v/>
      </c>
    </row>
    <row r="287">
      <c r="B287">
        <f>IF(A287="","",TEXT(A287,"yyyy-mm"))</f>
        <v/>
      </c>
    </row>
    <row r="288">
      <c r="B288">
        <f>IF(A288="","",TEXT(A288,"yyyy-mm"))</f>
        <v/>
      </c>
    </row>
    <row r="289">
      <c r="B289">
        <f>IF(A289="","",TEXT(A289,"yyyy-mm"))</f>
        <v/>
      </c>
    </row>
    <row r="290">
      <c r="B290">
        <f>IF(A290="","",TEXT(A290,"yyyy-mm"))</f>
        <v/>
      </c>
    </row>
    <row r="291">
      <c r="B291">
        <f>IF(A291="","",TEXT(A291,"yyyy-mm"))</f>
        <v/>
      </c>
    </row>
    <row r="292">
      <c r="B292">
        <f>IF(A292="","",TEXT(A292,"yyyy-mm"))</f>
        <v/>
      </c>
    </row>
    <row r="293">
      <c r="B293">
        <f>IF(A293="","",TEXT(A293,"yyyy-mm"))</f>
        <v/>
      </c>
    </row>
    <row r="294">
      <c r="B294">
        <f>IF(A294="","",TEXT(A294,"yyyy-mm"))</f>
        <v/>
      </c>
    </row>
    <row r="295">
      <c r="B295">
        <f>IF(A295="","",TEXT(A295,"yyyy-mm"))</f>
        <v/>
      </c>
    </row>
    <row r="296">
      <c r="B296">
        <f>IF(A296="","",TEXT(A296,"yyyy-mm"))</f>
        <v/>
      </c>
    </row>
    <row r="297">
      <c r="B297">
        <f>IF(A297="","",TEXT(A297,"yyyy-mm"))</f>
        <v/>
      </c>
    </row>
    <row r="298">
      <c r="B298">
        <f>IF(A298="","",TEXT(A298,"yyyy-mm"))</f>
        <v/>
      </c>
    </row>
    <row r="299">
      <c r="B299">
        <f>IF(A299="","",TEXT(A299,"yyyy-mm"))</f>
        <v/>
      </c>
    </row>
    <row r="300">
      <c r="B300">
        <f>IF(A300="","",TEXT(A300,"yyyy-mm"))</f>
        <v/>
      </c>
    </row>
    <row r="301">
      <c r="B301">
        <f>IF(A301="","",TEXT(A301,"yyyy-mm"))</f>
        <v/>
      </c>
    </row>
    <row r="302">
      <c r="B302">
        <f>IF(A302="","",TEXT(A302,"yyyy-mm"))</f>
        <v/>
      </c>
    </row>
    <row r="303">
      <c r="B303">
        <f>IF(A303="","",TEXT(A303,"yyyy-mm"))</f>
        <v/>
      </c>
    </row>
    <row r="304">
      <c r="B304">
        <f>IF(A304="","",TEXT(A304,"yyyy-mm"))</f>
        <v/>
      </c>
    </row>
    <row r="305">
      <c r="B305">
        <f>IF(A305="","",TEXT(A305,"yyyy-mm"))</f>
        <v/>
      </c>
    </row>
    <row r="306">
      <c r="B306">
        <f>IF(A306="","",TEXT(A306,"yyyy-mm"))</f>
        <v/>
      </c>
    </row>
    <row r="307">
      <c r="B307">
        <f>IF(A307="","",TEXT(A307,"yyyy-mm"))</f>
        <v/>
      </c>
    </row>
    <row r="308">
      <c r="B308">
        <f>IF(A308="","",TEXT(A308,"yyyy-mm"))</f>
        <v/>
      </c>
    </row>
    <row r="309">
      <c r="B309">
        <f>IF(A309="","",TEXT(A309,"yyyy-mm"))</f>
        <v/>
      </c>
    </row>
    <row r="310">
      <c r="B310">
        <f>IF(A310="","",TEXT(A310,"yyyy-mm"))</f>
        <v/>
      </c>
    </row>
    <row r="311">
      <c r="B311">
        <f>IF(A311="","",TEXT(A311,"yyyy-mm"))</f>
        <v/>
      </c>
    </row>
    <row r="312">
      <c r="B312">
        <f>IF(A312="","",TEXT(A312,"yyyy-mm"))</f>
        <v/>
      </c>
    </row>
    <row r="313">
      <c r="B313">
        <f>IF(A313="","",TEXT(A313,"yyyy-mm"))</f>
        <v/>
      </c>
    </row>
    <row r="314">
      <c r="B314">
        <f>IF(A314="","",TEXT(A314,"yyyy-mm"))</f>
        <v/>
      </c>
    </row>
    <row r="315">
      <c r="B315">
        <f>IF(A315="","",TEXT(A315,"yyyy-mm"))</f>
        <v/>
      </c>
    </row>
    <row r="316">
      <c r="B316">
        <f>IF(A316="","",TEXT(A316,"yyyy-mm"))</f>
        <v/>
      </c>
    </row>
    <row r="317">
      <c r="B317">
        <f>IF(A317="","",TEXT(A317,"yyyy-mm"))</f>
        <v/>
      </c>
    </row>
    <row r="318">
      <c r="B318">
        <f>IF(A318="","",TEXT(A318,"yyyy-mm"))</f>
        <v/>
      </c>
    </row>
    <row r="319">
      <c r="B319">
        <f>IF(A319="","",TEXT(A319,"yyyy-mm"))</f>
        <v/>
      </c>
    </row>
    <row r="320">
      <c r="B320">
        <f>IF(A320="","",TEXT(A320,"yyyy-mm"))</f>
        <v/>
      </c>
    </row>
    <row r="321">
      <c r="B321">
        <f>IF(A321="","",TEXT(A321,"yyyy-mm"))</f>
        <v/>
      </c>
    </row>
    <row r="322">
      <c r="B322">
        <f>IF(A322="","",TEXT(A322,"yyyy-mm"))</f>
        <v/>
      </c>
    </row>
    <row r="323">
      <c r="B323">
        <f>IF(A323="","",TEXT(A323,"yyyy-mm"))</f>
        <v/>
      </c>
    </row>
    <row r="324">
      <c r="B324">
        <f>IF(A324="","",TEXT(A324,"yyyy-mm"))</f>
        <v/>
      </c>
    </row>
    <row r="325">
      <c r="B325">
        <f>IF(A325="","",TEXT(A325,"yyyy-mm"))</f>
        <v/>
      </c>
    </row>
    <row r="326">
      <c r="B326">
        <f>IF(A326="","",TEXT(A326,"yyyy-mm"))</f>
        <v/>
      </c>
    </row>
    <row r="327">
      <c r="B327">
        <f>IF(A327="","",TEXT(A327,"yyyy-mm"))</f>
        <v/>
      </c>
    </row>
    <row r="328">
      <c r="B328">
        <f>IF(A328="","",TEXT(A328,"yyyy-mm"))</f>
        <v/>
      </c>
    </row>
    <row r="329">
      <c r="B329">
        <f>IF(A329="","",TEXT(A329,"yyyy-mm"))</f>
        <v/>
      </c>
    </row>
    <row r="330">
      <c r="B330">
        <f>IF(A330="","",TEXT(A330,"yyyy-mm"))</f>
        <v/>
      </c>
    </row>
    <row r="331">
      <c r="B331">
        <f>IF(A331="","",TEXT(A331,"yyyy-mm"))</f>
        <v/>
      </c>
    </row>
    <row r="332">
      <c r="B332">
        <f>IF(A332="","",TEXT(A332,"yyyy-mm"))</f>
        <v/>
      </c>
    </row>
    <row r="333">
      <c r="B333">
        <f>IF(A333="","",TEXT(A333,"yyyy-mm"))</f>
        <v/>
      </c>
    </row>
    <row r="334">
      <c r="B334">
        <f>IF(A334="","",TEXT(A334,"yyyy-mm"))</f>
        <v/>
      </c>
    </row>
    <row r="335">
      <c r="B335">
        <f>IF(A335="","",TEXT(A335,"yyyy-mm"))</f>
        <v/>
      </c>
    </row>
    <row r="336">
      <c r="B336">
        <f>IF(A336="","",TEXT(A336,"yyyy-mm"))</f>
        <v/>
      </c>
    </row>
    <row r="337">
      <c r="B337">
        <f>IF(A337="","",TEXT(A337,"yyyy-mm"))</f>
        <v/>
      </c>
    </row>
    <row r="338">
      <c r="B338">
        <f>IF(A338="","",TEXT(A338,"yyyy-mm"))</f>
        <v/>
      </c>
    </row>
    <row r="339">
      <c r="B339">
        <f>IF(A339="","",TEXT(A339,"yyyy-mm"))</f>
        <v/>
      </c>
    </row>
    <row r="340">
      <c r="B340">
        <f>IF(A340="","",TEXT(A340,"yyyy-mm"))</f>
        <v/>
      </c>
    </row>
    <row r="341">
      <c r="B341">
        <f>IF(A341="","",TEXT(A341,"yyyy-mm"))</f>
        <v/>
      </c>
    </row>
    <row r="342">
      <c r="B342">
        <f>IF(A342="","",TEXT(A342,"yyyy-mm"))</f>
        <v/>
      </c>
    </row>
    <row r="343">
      <c r="B343">
        <f>IF(A343="","",TEXT(A343,"yyyy-mm"))</f>
        <v/>
      </c>
    </row>
    <row r="344">
      <c r="B344">
        <f>IF(A344="","",TEXT(A344,"yyyy-mm"))</f>
        <v/>
      </c>
    </row>
    <row r="345">
      <c r="B345">
        <f>IF(A345="","",TEXT(A345,"yyyy-mm"))</f>
        <v/>
      </c>
    </row>
    <row r="346">
      <c r="B346">
        <f>IF(A346="","",TEXT(A346,"yyyy-mm"))</f>
        <v/>
      </c>
    </row>
    <row r="347">
      <c r="B347">
        <f>IF(A347="","",TEXT(A347,"yyyy-mm"))</f>
        <v/>
      </c>
    </row>
    <row r="348">
      <c r="B348">
        <f>IF(A348="","",TEXT(A348,"yyyy-mm"))</f>
        <v/>
      </c>
    </row>
    <row r="349">
      <c r="B349">
        <f>IF(A349="","",TEXT(A349,"yyyy-mm"))</f>
        <v/>
      </c>
    </row>
    <row r="350">
      <c r="B350">
        <f>IF(A350="","",TEXT(A350,"yyyy-mm"))</f>
        <v/>
      </c>
    </row>
    <row r="351">
      <c r="B351">
        <f>IF(A351="","",TEXT(A351,"yyyy-mm"))</f>
        <v/>
      </c>
    </row>
    <row r="352">
      <c r="B352">
        <f>IF(A352="","",TEXT(A352,"yyyy-mm"))</f>
        <v/>
      </c>
    </row>
    <row r="353">
      <c r="B353">
        <f>IF(A353="","",TEXT(A353,"yyyy-mm"))</f>
        <v/>
      </c>
    </row>
    <row r="354">
      <c r="B354">
        <f>IF(A354="","",TEXT(A354,"yyyy-mm"))</f>
        <v/>
      </c>
    </row>
    <row r="355">
      <c r="B355">
        <f>IF(A355="","",TEXT(A355,"yyyy-mm"))</f>
        <v/>
      </c>
    </row>
    <row r="356">
      <c r="B356">
        <f>IF(A356="","",TEXT(A356,"yyyy-mm"))</f>
        <v/>
      </c>
    </row>
    <row r="357">
      <c r="B357">
        <f>IF(A357="","",TEXT(A357,"yyyy-mm"))</f>
        <v/>
      </c>
    </row>
    <row r="358">
      <c r="B358">
        <f>IF(A358="","",TEXT(A358,"yyyy-mm"))</f>
        <v/>
      </c>
    </row>
    <row r="359">
      <c r="B359">
        <f>IF(A359="","",TEXT(A359,"yyyy-mm"))</f>
        <v/>
      </c>
    </row>
    <row r="360">
      <c r="B360">
        <f>IF(A360="","",TEXT(A360,"yyyy-mm"))</f>
        <v/>
      </c>
    </row>
    <row r="361">
      <c r="B361">
        <f>IF(A361="","",TEXT(A361,"yyyy-mm"))</f>
        <v/>
      </c>
    </row>
    <row r="362">
      <c r="B362">
        <f>IF(A362="","",TEXT(A362,"yyyy-mm"))</f>
        <v/>
      </c>
    </row>
    <row r="363">
      <c r="B363">
        <f>IF(A363="","",TEXT(A363,"yyyy-mm"))</f>
        <v/>
      </c>
    </row>
    <row r="364">
      <c r="B364">
        <f>IF(A364="","",TEXT(A364,"yyyy-mm"))</f>
        <v/>
      </c>
    </row>
    <row r="365">
      <c r="B365">
        <f>IF(A365="","",TEXT(A365,"yyyy-mm"))</f>
        <v/>
      </c>
    </row>
    <row r="366">
      <c r="B366">
        <f>IF(A366="","",TEXT(A366,"yyyy-mm"))</f>
        <v/>
      </c>
    </row>
    <row r="367">
      <c r="B367">
        <f>IF(A367="","",TEXT(A367,"yyyy-mm"))</f>
        <v/>
      </c>
    </row>
    <row r="368">
      <c r="B368">
        <f>IF(A368="","",TEXT(A368,"yyyy-mm"))</f>
        <v/>
      </c>
    </row>
    <row r="369">
      <c r="B369">
        <f>IF(A369="","",TEXT(A369,"yyyy-mm"))</f>
        <v/>
      </c>
    </row>
    <row r="370">
      <c r="B370">
        <f>IF(A370="","",TEXT(A370,"yyyy-mm"))</f>
        <v/>
      </c>
    </row>
    <row r="371">
      <c r="B371">
        <f>IF(A371="","",TEXT(A371,"yyyy-mm"))</f>
        <v/>
      </c>
    </row>
    <row r="372">
      <c r="B372">
        <f>IF(A372="","",TEXT(A372,"yyyy-mm"))</f>
        <v/>
      </c>
    </row>
    <row r="373">
      <c r="B373">
        <f>IF(A373="","",TEXT(A373,"yyyy-mm"))</f>
        <v/>
      </c>
    </row>
    <row r="374">
      <c r="B374">
        <f>IF(A374="","",TEXT(A374,"yyyy-mm"))</f>
        <v/>
      </c>
    </row>
    <row r="375">
      <c r="B375">
        <f>IF(A375="","",TEXT(A375,"yyyy-mm"))</f>
        <v/>
      </c>
    </row>
    <row r="376">
      <c r="B376">
        <f>IF(A376="","",TEXT(A376,"yyyy-mm"))</f>
        <v/>
      </c>
    </row>
    <row r="377">
      <c r="B377">
        <f>IF(A377="","",TEXT(A377,"yyyy-mm"))</f>
        <v/>
      </c>
    </row>
    <row r="378">
      <c r="B378">
        <f>IF(A378="","",TEXT(A378,"yyyy-mm"))</f>
        <v/>
      </c>
    </row>
    <row r="379">
      <c r="B379">
        <f>IF(A379="","",TEXT(A379,"yyyy-mm"))</f>
        <v/>
      </c>
    </row>
    <row r="380">
      <c r="B380">
        <f>IF(A380="","",TEXT(A380,"yyyy-mm"))</f>
        <v/>
      </c>
    </row>
    <row r="381">
      <c r="B381">
        <f>IF(A381="","",TEXT(A381,"yyyy-mm"))</f>
        <v/>
      </c>
    </row>
    <row r="382">
      <c r="B382">
        <f>IF(A382="","",TEXT(A382,"yyyy-mm"))</f>
        <v/>
      </c>
    </row>
    <row r="383">
      <c r="B383">
        <f>IF(A383="","",TEXT(A383,"yyyy-mm"))</f>
        <v/>
      </c>
    </row>
    <row r="384">
      <c r="B384">
        <f>IF(A384="","",TEXT(A384,"yyyy-mm"))</f>
        <v/>
      </c>
    </row>
    <row r="385">
      <c r="B385">
        <f>IF(A385="","",TEXT(A385,"yyyy-mm"))</f>
        <v/>
      </c>
    </row>
    <row r="386">
      <c r="B386">
        <f>IF(A386="","",TEXT(A386,"yyyy-mm"))</f>
        <v/>
      </c>
    </row>
    <row r="387">
      <c r="B387">
        <f>IF(A387="","",TEXT(A387,"yyyy-mm"))</f>
        <v/>
      </c>
    </row>
    <row r="388">
      <c r="B388">
        <f>IF(A388="","",TEXT(A388,"yyyy-mm"))</f>
        <v/>
      </c>
    </row>
    <row r="389">
      <c r="B389">
        <f>IF(A389="","",TEXT(A389,"yyyy-mm"))</f>
        <v/>
      </c>
    </row>
    <row r="390">
      <c r="B390">
        <f>IF(A390="","",TEXT(A390,"yyyy-mm"))</f>
        <v/>
      </c>
    </row>
    <row r="391">
      <c r="B391">
        <f>IF(A391="","",TEXT(A391,"yyyy-mm"))</f>
        <v/>
      </c>
    </row>
    <row r="392">
      <c r="B392">
        <f>IF(A392="","",TEXT(A392,"yyyy-mm"))</f>
        <v/>
      </c>
    </row>
    <row r="393">
      <c r="B393">
        <f>IF(A393="","",TEXT(A393,"yyyy-mm"))</f>
        <v/>
      </c>
    </row>
    <row r="394">
      <c r="B394">
        <f>IF(A394="","",TEXT(A394,"yyyy-mm"))</f>
        <v/>
      </c>
    </row>
    <row r="395">
      <c r="B395">
        <f>IF(A395="","",TEXT(A395,"yyyy-mm"))</f>
        <v/>
      </c>
    </row>
    <row r="396">
      <c r="B396">
        <f>IF(A396="","",TEXT(A396,"yyyy-mm"))</f>
        <v/>
      </c>
    </row>
    <row r="397">
      <c r="B397">
        <f>IF(A397="","",TEXT(A397,"yyyy-mm"))</f>
        <v/>
      </c>
    </row>
    <row r="398">
      <c r="B398">
        <f>IF(A398="","",TEXT(A398,"yyyy-mm"))</f>
        <v/>
      </c>
    </row>
    <row r="399">
      <c r="B399">
        <f>IF(A399="","",TEXT(A399,"yyyy-mm"))</f>
        <v/>
      </c>
    </row>
    <row r="400">
      <c r="B400">
        <f>IF(A400="","",TEXT(A400,"yyyy-mm"))</f>
        <v/>
      </c>
    </row>
    <row r="401">
      <c r="B401">
        <f>IF(A401="","",TEXT(A401,"yyyy-mm"))</f>
        <v/>
      </c>
    </row>
    <row r="402">
      <c r="B402">
        <f>IF(A402="","",TEXT(A402,"yyyy-mm"))</f>
        <v/>
      </c>
    </row>
    <row r="403">
      <c r="B403">
        <f>IF(A403="","",TEXT(A403,"yyyy-mm"))</f>
        <v/>
      </c>
    </row>
    <row r="404">
      <c r="B404">
        <f>IF(A404="","",TEXT(A404,"yyyy-mm"))</f>
        <v/>
      </c>
    </row>
    <row r="405">
      <c r="B405">
        <f>IF(A405="","",TEXT(A405,"yyyy-mm"))</f>
        <v/>
      </c>
    </row>
    <row r="406">
      <c r="B406">
        <f>IF(A406="","",TEXT(A406,"yyyy-mm"))</f>
        <v/>
      </c>
    </row>
    <row r="407">
      <c r="B407">
        <f>IF(A407="","",TEXT(A407,"yyyy-mm"))</f>
        <v/>
      </c>
    </row>
    <row r="408">
      <c r="B408">
        <f>IF(A408="","",TEXT(A408,"yyyy-mm"))</f>
        <v/>
      </c>
    </row>
    <row r="409">
      <c r="B409">
        <f>IF(A409="","",TEXT(A409,"yyyy-mm"))</f>
        <v/>
      </c>
    </row>
    <row r="410">
      <c r="B410">
        <f>IF(A410="","",TEXT(A410,"yyyy-mm"))</f>
        <v/>
      </c>
    </row>
    <row r="411">
      <c r="B411">
        <f>IF(A411="","",TEXT(A411,"yyyy-mm"))</f>
        <v/>
      </c>
    </row>
    <row r="412">
      <c r="B412">
        <f>IF(A412="","",TEXT(A412,"yyyy-mm"))</f>
        <v/>
      </c>
    </row>
    <row r="413">
      <c r="B413">
        <f>IF(A413="","",TEXT(A413,"yyyy-mm"))</f>
        <v/>
      </c>
    </row>
    <row r="414">
      <c r="B414">
        <f>IF(A414="","",TEXT(A414,"yyyy-mm"))</f>
        <v/>
      </c>
    </row>
    <row r="415">
      <c r="B415">
        <f>IF(A415="","",TEXT(A415,"yyyy-mm"))</f>
        <v/>
      </c>
    </row>
    <row r="416">
      <c r="B416">
        <f>IF(A416="","",TEXT(A416,"yyyy-mm"))</f>
        <v/>
      </c>
    </row>
    <row r="417">
      <c r="B417">
        <f>IF(A417="","",TEXT(A417,"yyyy-mm"))</f>
        <v/>
      </c>
    </row>
    <row r="418">
      <c r="B418">
        <f>IF(A418="","",TEXT(A418,"yyyy-mm"))</f>
        <v/>
      </c>
    </row>
    <row r="419">
      <c r="B419">
        <f>IF(A419="","",TEXT(A419,"yyyy-mm"))</f>
        <v/>
      </c>
    </row>
    <row r="420">
      <c r="B420">
        <f>IF(A420="","",TEXT(A420,"yyyy-mm"))</f>
        <v/>
      </c>
    </row>
    <row r="421">
      <c r="B421">
        <f>IF(A421="","",TEXT(A421,"yyyy-mm"))</f>
        <v/>
      </c>
    </row>
    <row r="422">
      <c r="B422">
        <f>IF(A422="","",TEXT(A422,"yyyy-mm"))</f>
        <v/>
      </c>
    </row>
    <row r="423">
      <c r="B423">
        <f>IF(A423="","",TEXT(A423,"yyyy-mm"))</f>
        <v/>
      </c>
    </row>
    <row r="424">
      <c r="B424">
        <f>IF(A424="","",TEXT(A424,"yyyy-mm"))</f>
        <v/>
      </c>
    </row>
    <row r="425">
      <c r="B425">
        <f>IF(A425="","",TEXT(A425,"yyyy-mm"))</f>
        <v/>
      </c>
    </row>
    <row r="426">
      <c r="B426">
        <f>IF(A426="","",TEXT(A426,"yyyy-mm"))</f>
        <v/>
      </c>
    </row>
    <row r="427">
      <c r="B427">
        <f>IF(A427="","",TEXT(A427,"yyyy-mm"))</f>
        <v/>
      </c>
    </row>
    <row r="428">
      <c r="B428">
        <f>IF(A428="","",TEXT(A428,"yyyy-mm"))</f>
        <v/>
      </c>
    </row>
    <row r="429">
      <c r="B429">
        <f>IF(A429="","",TEXT(A429,"yyyy-mm"))</f>
        <v/>
      </c>
    </row>
    <row r="430">
      <c r="B430">
        <f>IF(A430="","",TEXT(A430,"yyyy-mm"))</f>
        <v/>
      </c>
    </row>
    <row r="431">
      <c r="B431">
        <f>IF(A431="","",TEXT(A431,"yyyy-mm"))</f>
        <v/>
      </c>
    </row>
    <row r="432">
      <c r="B432">
        <f>IF(A432="","",TEXT(A432,"yyyy-mm"))</f>
        <v/>
      </c>
    </row>
    <row r="433">
      <c r="B433">
        <f>IF(A433="","",TEXT(A433,"yyyy-mm"))</f>
        <v/>
      </c>
    </row>
    <row r="434">
      <c r="B434">
        <f>IF(A434="","",TEXT(A434,"yyyy-mm"))</f>
        <v/>
      </c>
    </row>
    <row r="435">
      <c r="B435">
        <f>IF(A435="","",TEXT(A435,"yyyy-mm"))</f>
        <v/>
      </c>
    </row>
    <row r="436">
      <c r="B436">
        <f>IF(A436="","",TEXT(A436,"yyyy-mm"))</f>
        <v/>
      </c>
    </row>
    <row r="437">
      <c r="B437">
        <f>IF(A437="","",TEXT(A437,"yyyy-mm"))</f>
        <v/>
      </c>
    </row>
    <row r="438">
      <c r="B438">
        <f>IF(A438="","",TEXT(A438,"yyyy-mm"))</f>
        <v/>
      </c>
    </row>
    <row r="439">
      <c r="B439">
        <f>IF(A439="","",TEXT(A439,"yyyy-mm"))</f>
        <v/>
      </c>
    </row>
    <row r="440">
      <c r="B440">
        <f>IF(A440="","",TEXT(A440,"yyyy-mm"))</f>
        <v/>
      </c>
    </row>
    <row r="441">
      <c r="B441">
        <f>IF(A441="","",TEXT(A441,"yyyy-mm"))</f>
        <v/>
      </c>
    </row>
    <row r="442">
      <c r="B442">
        <f>IF(A442="","",TEXT(A442,"yyyy-mm"))</f>
        <v/>
      </c>
    </row>
    <row r="443">
      <c r="B443">
        <f>IF(A443="","",TEXT(A443,"yyyy-mm"))</f>
        <v/>
      </c>
    </row>
    <row r="444">
      <c r="B444">
        <f>IF(A444="","",TEXT(A444,"yyyy-mm"))</f>
        <v/>
      </c>
    </row>
    <row r="445">
      <c r="B445">
        <f>IF(A445="","",TEXT(A445,"yyyy-mm"))</f>
        <v/>
      </c>
    </row>
    <row r="446">
      <c r="B446">
        <f>IF(A446="","",TEXT(A446,"yyyy-mm"))</f>
        <v/>
      </c>
    </row>
    <row r="447">
      <c r="B447">
        <f>IF(A447="","",TEXT(A447,"yyyy-mm"))</f>
        <v/>
      </c>
    </row>
    <row r="448">
      <c r="B448">
        <f>IF(A448="","",TEXT(A448,"yyyy-mm"))</f>
        <v/>
      </c>
    </row>
    <row r="449">
      <c r="B449">
        <f>IF(A449="","",TEXT(A449,"yyyy-mm"))</f>
        <v/>
      </c>
    </row>
    <row r="450">
      <c r="B450">
        <f>IF(A450="","",TEXT(A450,"yyyy-mm"))</f>
        <v/>
      </c>
    </row>
    <row r="451">
      <c r="B451">
        <f>IF(A451="","",TEXT(A451,"yyyy-mm"))</f>
        <v/>
      </c>
    </row>
    <row r="452">
      <c r="B452">
        <f>IF(A452="","",TEXT(A452,"yyyy-mm"))</f>
        <v/>
      </c>
    </row>
    <row r="453">
      <c r="B453">
        <f>IF(A453="","",TEXT(A453,"yyyy-mm"))</f>
        <v/>
      </c>
    </row>
    <row r="454">
      <c r="B454">
        <f>IF(A454="","",TEXT(A454,"yyyy-mm"))</f>
        <v/>
      </c>
    </row>
    <row r="455">
      <c r="B455">
        <f>IF(A455="","",TEXT(A455,"yyyy-mm"))</f>
        <v/>
      </c>
    </row>
    <row r="456">
      <c r="B456">
        <f>IF(A456="","",TEXT(A456,"yyyy-mm"))</f>
        <v/>
      </c>
    </row>
    <row r="457">
      <c r="B457">
        <f>IF(A457="","",TEXT(A457,"yyyy-mm"))</f>
        <v/>
      </c>
    </row>
    <row r="458">
      <c r="B458">
        <f>IF(A458="","",TEXT(A458,"yyyy-mm"))</f>
        <v/>
      </c>
    </row>
    <row r="459">
      <c r="B459">
        <f>IF(A459="","",TEXT(A459,"yyyy-mm"))</f>
        <v/>
      </c>
    </row>
    <row r="460">
      <c r="B460">
        <f>IF(A460="","",TEXT(A460,"yyyy-mm"))</f>
        <v/>
      </c>
    </row>
    <row r="461">
      <c r="B461">
        <f>IF(A461="","",TEXT(A461,"yyyy-mm"))</f>
        <v/>
      </c>
    </row>
    <row r="462">
      <c r="B462">
        <f>IF(A462="","",TEXT(A462,"yyyy-mm"))</f>
        <v/>
      </c>
    </row>
    <row r="463">
      <c r="B463">
        <f>IF(A463="","",TEXT(A463,"yyyy-mm"))</f>
        <v/>
      </c>
    </row>
    <row r="464">
      <c r="B464">
        <f>IF(A464="","",TEXT(A464,"yyyy-mm"))</f>
        <v/>
      </c>
    </row>
    <row r="465">
      <c r="B465">
        <f>IF(A465="","",TEXT(A465,"yyyy-mm"))</f>
        <v/>
      </c>
    </row>
    <row r="466">
      <c r="B466">
        <f>IF(A466="","",TEXT(A466,"yyyy-mm"))</f>
        <v/>
      </c>
    </row>
    <row r="467">
      <c r="B467">
        <f>IF(A467="","",TEXT(A467,"yyyy-mm"))</f>
        <v/>
      </c>
    </row>
    <row r="468">
      <c r="B468">
        <f>IF(A468="","",TEXT(A468,"yyyy-mm"))</f>
        <v/>
      </c>
    </row>
    <row r="469">
      <c r="B469">
        <f>IF(A469="","",TEXT(A469,"yyyy-mm"))</f>
        <v/>
      </c>
    </row>
    <row r="470">
      <c r="B470">
        <f>IF(A470="","",TEXT(A470,"yyyy-mm"))</f>
        <v/>
      </c>
    </row>
    <row r="471">
      <c r="B471">
        <f>IF(A471="","",TEXT(A471,"yyyy-mm"))</f>
        <v/>
      </c>
    </row>
    <row r="472">
      <c r="B472">
        <f>IF(A472="","",TEXT(A472,"yyyy-mm"))</f>
        <v/>
      </c>
    </row>
    <row r="473">
      <c r="B473">
        <f>IF(A473="","",TEXT(A473,"yyyy-mm"))</f>
        <v/>
      </c>
    </row>
    <row r="474">
      <c r="B474">
        <f>IF(A474="","",TEXT(A474,"yyyy-mm"))</f>
        <v/>
      </c>
    </row>
    <row r="475">
      <c r="B475">
        <f>IF(A475="","",TEXT(A475,"yyyy-mm"))</f>
        <v/>
      </c>
    </row>
    <row r="476">
      <c r="B476">
        <f>IF(A476="","",TEXT(A476,"yyyy-mm"))</f>
        <v/>
      </c>
    </row>
    <row r="477">
      <c r="B477">
        <f>IF(A477="","",TEXT(A477,"yyyy-mm"))</f>
        <v/>
      </c>
    </row>
    <row r="478">
      <c r="B478">
        <f>IF(A478="","",TEXT(A478,"yyyy-mm"))</f>
        <v/>
      </c>
    </row>
    <row r="479">
      <c r="B479">
        <f>IF(A479="","",TEXT(A479,"yyyy-mm"))</f>
        <v/>
      </c>
    </row>
    <row r="480">
      <c r="B480">
        <f>IF(A480="","",TEXT(A480,"yyyy-mm"))</f>
        <v/>
      </c>
    </row>
    <row r="481">
      <c r="B481">
        <f>IF(A481="","",TEXT(A481,"yyyy-mm"))</f>
        <v/>
      </c>
    </row>
    <row r="482">
      <c r="B482">
        <f>IF(A482="","",TEXT(A482,"yyyy-mm"))</f>
        <v/>
      </c>
    </row>
    <row r="483">
      <c r="B483">
        <f>IF(A483="","",TEXT(A483,"yyyy-mm"))</f>
        <v/>
      </c>
    </row>
    <row r="484">
      <c r="B484">
        <f>IF(A484="","",TEXT(A484,"yyyy-mm"))</f>
        <v/>
      </c>
    </row>
    <row r="485">
      <c r="B485">
        <f>IF(A485="","",TEXT(A485,"yyyy-mm"))</f>
        <v/>
      </c>
    </row>
    <row r="486">
      <c r="B486">
        <f>IF(A486="","",TEXT(A486,"yyyy-mm"))</f>
        <v/>
      </c>
    </row>
    <row r="487">
      <c r="B487">
        <f>IF(A487="","",TEXT(A487,"yyyy-mm"))</f>
        <v/>
      </c>
    </row>
    <row r="488">
      <c r="B488">
        <f>IF(A488="","",TEXT(A488,"yyyy-mm"))</f>
        <v/>
      </c>
    </row>
    <row r="489">
      <c r="B489">
        <f>IF(A489="","",TEXT(A489,"yyyy-mm"))</f>
        <v/>
      </c>
    </row>
    <row r="490">
      <c r="B490">
        <f>IF(A490="","",TEXT(A490,"yyyy-mm"))</f>
        <v/>
      </c>
    </row>
    <row r="491">
      <c r="B491">
        <f>IF(A491="","",TEXT(A491,"yyyy-mm"))</f>
        <v/>
      </c>
    </row>
    <row r="492">
      <c r="B492">
        <f>IF(A492="","",TEXT(A492,"yyyy-mm"))</f>
        <v/>
      </c>
    </row>
    <row r="493">
      <c r="B493">
        <f>IF(A493="","",TEXT(A493,"yyyy-mm"))</f>
        <v/>
      </c>
    </row>
    <row r="494">
      <c r="B494">
        <f>IF(A494="","",TEXT(A494,"yyyy-mm"))</f>
        <v/>
      </c>
    </row>
    <row r="495">
      <c r="B495">
        <f>IF(A495="","",TEXT(A495,"yyyy-mm"))</f>
        <v/>
      </c>
    </row>
    <row r="496">
      <c r="B496">
        <f>IF(A496="","",TEXT(A496,"yyyy-mm"))</f>
        <v/>
      </c>
    </row>
    <row r="497">
      <c r="B497">
        <f>IF(A497="","",TEXT(A497,"yyyy-mm"))</f>
        <v/>
      </c>
    </row>
    <row r="498">
      <c r="B498">
        <f>IF(A498="","",TEXT(A498,"yyyy-mm"))</f>
        <v/>
      </c>
    </row>
    <row r="499">
      <c r="B499">
        <f>IF(A499="","",TEXT(A499,"yyyy-mm"))</f>
        <v/>
      </c>
    </row>
    <row r="500">
      <c r="B500">
        <f>IF(A500="","",TEXT(A500,"yyyy-mm"))</f>
        <v/>
      </c>
    </row>
  </sheetData>
  <dataValidations count="3">
    <dataValidation sqref="C2:C1000" showDropDown="0" showInputMessage="0" showErrorMessage="0" allowBlank="0" type="list">
      <formula1>"Owner plan,Founder top-up,Other"</formula1>
    </dataValidation>
    <dataValidation sqref="E2:E1000" showDropDown="0" showInputMessage="0" showErrorMessage="0" allowBlank="0" type="list">
      <formula1>"499,999,1499"</formula1>
    </dataValidation>
    <dataValidation sqref="I2:I10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2" customWidth="1" min="5" max="5"/>
    <col width="20" customWidth="1" min="6" max="6"/>
    <col width="20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Month (auto)</t>
        </is>
      </c>
      <c r="C1" s="1" t="inlineStr">
        <is>
          <t>What</t>
        </is>
      </c>
      <c r="D1" s="1" t="inlineStr">
        <is>
          <t>Bucket</t>
        </is>
      </c>
      <c r="E1" s="1" t="inlineStr">
        <is>
          <t>Amount (₹)</t>
        </is>
      </c>
      <c r="F1" s="1" t="inlineStr">
        <is>
          <t>Paid to</t>
        </is>
      </c>
      <c r="G1" s="1" t="inlineStr">
        <is>
          <t>UPI ref / bill no.</t>
        </is>
      </c>
      <c r="H1" s="1" t="inlineStr">
        <is>
          <t>Receipt saved? (Y/N)</t>
        </is>
      </c>
    </row>
    <row r="2">
      <c r="B2">
        <f>IF(A2="","",TEXT(A2,"yyyy-mm"))</f>
        <v/>
      </c>
    </row>
    <row r="3">
      <c r="B3">
        <f>IF(A3="","",TEXT(A3,"yyyy-mm"))</f>
        <v/>
      </c>
    </row>
    <row r="4">
      <c r="B4">
        <f>IF(A4="","",TEXT(A4,"yyyy-mm"))</f>
        <v/>
      </c>
    </row>
    <row r="5">
      <c r="B5">
        <f>IF(A5="","",TEXT(A5,"yyyy-mm"))</f>
        <v/>
      </c>
    </row>
    <row r="6">
      <c r="B6">
        <f>IF(A6="","",TEXT(A6,"yyyy-mm"))</f>
        <v/>
      </c>
    </row>
    <row r="7">
      <c r="B7">
        <f>IF(A7="","",TEXT(A7,"yyyy-mm"))</f>
        <v/>
      </c>
    </row>
    <row r="8">
      <c r="B8">
        <f>IF(A8="","",TEXT(A8,"yyyy-mm"))</f>
        <v/>
      </c>
    </row>
    <row r="9">
      <c r="B9">
        <f>IF(A9="","",TEXT(A9,"yyyy-mm"))</f>
        <v/>
      </c>
    </row>
    <row r="10">
      <c r="B10">
        <f>IF(A10="","",TEXT(A10,"yyyy-mm"))</f>
        <v/>
      </c>
    </row>
    <row r="11">
      <c r="B11">
        <f>IF(A11="","",TEXT(A11,"yyyy-mm"))</f>
        <v/>
      </c>
    </row>
    <row r="12">
      <c r="B12">
        <f>IF(A12="","",TEXT(A12,"yyyy-mm"))</f>
        <v/>
      </c>
    </row>
    <row r="13">
      <c r="B13">
        <f>IF(A13="","",TEXT(A13,"yyyy-mm"))</f>
        <v/>
      </c>
    </row>
    <row r="14">
      <c r="B14">
        <f>IF(A14="","",TEXT(A14,"yyyy-mm"))</f>
        <v/>
      </c>
    </row>
    <row r="15">
      <c r="B15">
        <f>IF(A15="","",TEXT(A15,"yyyy-mm"))</f>
        <v/>
      </c>
    </row>
    <row r="16">
      <c r="B16">
        <f>IF(A16="","",TEXT(A16,"yyyy-mm"))</f>
        <v/>
      </c>
    </row>
    <row r="17">
      <c r="B17">
        <f>IF(A17="","",TEXT(A17,"yyyy-mm"))</f>
        <v/>
      </c>
    </row>
    <row r="18">
      <c r="B18">
        <f>IF(A18="","",TEXT(A18,"yyyy-mm"))</f>
        <v/>
      </c>
    </row>
    <row r="19">
      <c r="B19">
        <f>IF(A19="","",TEXT(A19,"yyyy-mm"))</f>
        <v/>
      </c>
    </row>
    <row r="20">
      <c r="B20">
        <f>IF(A20="","",TEXT(A20,"yyyy-mm"))</f>
        <v/>
      </c>
    </row>
    <row r="21">
      <c r="B21">
        <f>IF(A21="","",TEXT(A21,"yyyy-mm"))</f>
        <v/>
      </c>
    </row>
    <row r="22">
      <c r="B22">
        <f>IF(A22="","",TEXT(A22,"yyyy-mm"))</f>
        <v/>
      </c>
    </row>
    <row r="23">
      <c r="B23">
        <f>IF(A23="","",TEXT(A23,"yyyy-mm"))</f>
        <v/>
      </c>
    </row>
    <row r="24">
      <c r="B24">
        <f>IF(A24="","",TEXT(A24,"yyyy-mm"))</f>
        <v/>
      </c>
    </row>
    <row r="25">
      <c r="B25">
        <f>IF(A25="","",TEXT(A25,"yyyy-mm"))</f>
        <v/>
      </c>
    </row>
    <row r="26">
      <c r="B26">
        <f>IF(A26="","",TEXT(A26,"yyyy-mm"))</f>
        <v/>
      </c>
    </row>
    <row r="27">
      <c r="B27">
        <f>IF(A27="","",TEXT(A27,"yyyy-mm"))</f>
        <v/>
      </c>
    </row>
    <row r="28">
      <c r="B28">
        <f>IF(A28="","",TEXT(A28,"yyyy-mm"))</f>
        <v/>
      </c>
    </row>
    <row r="29">
      <c r="B29">
        <f>IF(A29="","",TEXT(A29,"yyyy-mm"))</f>
        <v/>
      </c>
    </row>
    <row r="30">
      <c r="B30">
        <f>IF(A30="","",TEXT(A30,"yyyy-mm"))</f>
        <v/>
      </c>
    </row>
    <row r="31">
      <c r="B31">
        <f>IF(A31="","",TEXT(A31,"yyyy-mm"))</f>
        <v/>
      </c>
    </row>
    <row r="32">
      <c r="B32">
        <f>IF(A32="","",TEXT(A32,"yyyy-mm"))</f>
        <v/>
      </c>
    </row>
    <row r="33">
      <c r="B33">
        <f>IF(A33="","",TEXT(A33,"yyyy-mm"))</f>
        <v/>
      </c>
    </row>
    <row r="34">
      <c r="B34">
        <f>IF(A34="","",TEXT(A34,"yyyy-mm"))</f>
        <v/>
      </c>
    </row>
    <row r="35">
      <c r="B35">
        <f>IF(A35="","",TEXT(A35,"yyyy-mm"))</f>
        <v/>
      </c>
    </row>
    <row r="36">
      <c r="B36">
        <f>IF(A36="","",TEXT(A36,"yyyy-mm"))</f>
        <v/>
      </c>
    </row>
    <row r="37">
      <c r="B37">
        <f>IF(A37="","",TEXT(A37,"yyyy-mm"))</f>
        <v/>
      </c>
    </row>
    <row r="38">
      <c r="B38">
        <f>IF(A38="","",TEXT(A38,"yyyy-mm"))</f>
        <v/>
      </c>
    </row>
    <row r="39">
      <c r="B39">
        <f>IF(A39="","",TEXT(A39,"yyyy-mm"))</f>
        <v/>
      </c>
    </row>
    <row r="40">
      <c r="B40">
        <f>IF(A40="","",TEXT(A40,"yyyy-mm"))</f>
        <v/>
      </c>
    </row>
    <row r="41">
      <c r="B41">
        <f>IF(A41="","",TEXT(A41,"yyyy-mm"))</f>
        <v/>
      </c>
    </row>
    <row r="42">
      <c r="B42">
        <f>IF(A42="","",TEXT(A42,"yyyy-mm"))</f>
        <v/>
      </c>
    </row>
    <row r="43">
      <c r="B43">
        <f>IF(A43="","",TEXT(A43,"yyyy-mm"))</f>
        <v/>
      </c>
    </row>
    <row r="44">
      <c r="B44">
        <f>IF(A44="","",TEXT(A44,"yyyy-mm"))</f>
        <v/>
      </c>
    </row>
    <row r="45">
      <c r="B45">
        <f>IF(A45="","",TEXT(A45,"yyyy-mm"))</f>
        <v/>
      </c>
    </row>
    <row r="46">
      <c r="B46">
        <f>IF(A46="","",TEXT(A46,"yyyy-mm"))</f>
        <v/>
      </c>
    </row>
    <row r="47">
      <c r="B47">
        <f>IF(A47="","",TEXT(A47,"yyyy-mm"))</f>
        <v/>
      </c>
    </row>
    <row r="48">
      <c r="B48">
        <f>IF(A48="","",TEXT(A48,"yyyy-mm"))</f>
        <v/>
      </c>
    </row>
    <row r="49">
      <c r="B49">
        <f>IF(A49="","",TEXT(A49,"yyyy-mm"))</f>
        <v/>
      </c>
    </row>
    <row r="50">
      <c r="B50">
        <f>IF(A50="","",TEXT(A50,"yyyy-mm"))</f>
        <v/>
      </c>
    </row>
    <row r="51">
      <c r="B51">
        <f>IF(A51="","",TEXT(A51,"yyyy-mm"))</f>
        <v/>
      </c>
    </row>
    <row r="52">
      <c r="B52">
        <f>IF(A52="","",TEXT(A52,"yyyy-mm"))</f>
        <v/>
      </c>
    </row>
    <row r="53">
      <c r="B53">
        <f>IF(A53="","",TEXT(A53,"yyyy-mm"))</f>
        <v/>
      </c>
    </row>
    <row r="54">
      <c r="B54">
        <f>IF(A54="","",TEXT(A54,"yyyy-mm"))</f>
        <v/>
      </c>
    </row>
    <row r="55">
      <c r="B55">
        <f>IF(A55="","",TEXT(A55,"yyyy-mm"))</f>
        <v/>
      </c>
    </row>
    <row r="56">
      <c r="B56">
        <f>IF(A56="","",TEXT(A56,"yyyy-mm"))</f>
        <v/>
      </c>
    </row>
    <row r="57">
      <c r="B57">
        <f>IF(A57="","",TEXT(A57,"yyyy-mm"))</f>
        <v/>
      </c>
    </row>
    <row r="58">
      <c r="B58">
        <f>IF(A58="","",TEXT(A58,"yyyy-mm"))</f>
        <v/>
      </c>
    </row>
    <row r="59">
      <c r="B59">
        <f>IF(A59="","",TEXT(A59,"yyyy-mm"))</f>
        <v/>
      </c>
    </row>
    <row r="60">
      <c r="B60">
        <f>IF(A60="","",TEXT(A60,"yyyy-mm"))</f>
        <v/>
      </c>
    </row>
    <row r="61">
      <c r="B61">
        <f>IF(A61="","",TEXT(A61,"yyyy-mm"))</f>
        <v/>
      </c>
    </row>
    <row r="62">
      <c r="B62">
        <f>IF(A62="","",TEXT(A62,"yyyy-mm"))</f>
        <v/>
      </c>
    </row>
    <row r="63">
      <c r="B63">
        <f>IF(A63="","",TEXT(A63,"yyyy-mm"))</f>
        <v/>
      </c>
    </row>
    <row r="64">
      <c r="B64">
        <f>IF(A64="","",TEXT(A64,"yyyy-mm"))</f>
        <v/>
      </c>
    </row>
    <row r="65">
      <c r="B65">
        <f>IF(A65="","",TEXT(A65,"yyyy-mm"))</f>
        <v/>
      </c>
    </row>
    <row r="66">
      <c r="B66">
        <f>IF(A66="","",TEXT(A66,"yyyy-mm"))</f>
        <v/>
      </c>
    </row>
    <row r="67">
      <c r="B67">
        <f>IF(A67="","",TEXT(A67,"yyyy-mm"))</f>
        <v/>
      </c>
    </row>
    <row r="68">
      <c r="B68">
        <f>IF(A68="","",TEXT(A68,"yyyy-mm"))</f>
        <v/>
      </c>
    </row>
    <row r="69">
      <c r="B69">
        <f>IF(A69="","",TEXT(A69,"yyyy-mm"))</f>
        <v/>
      </c>
    </row>
    <row r="70">
      <c r="B70">
        <f>IF(A70="","",TEXT(A70,"yyyy-mm"))</f>
        <v/>
      </c>
    </row>
    <row r="71">
      <c r="B71">
        <f>IF(A71="","",TEXT(A71,"yyyy-mm"))</f>
        <v/>
      </c>
    </row>
    <row r="72">
      <c r="B72">
        <f>IF(A72="","",TEXT(A72,"yyyy-mm"))</f>
        <v/>
      </c>
    </row>
    <row r="73">
      <c r="B73">
        <f>IF(A73="","",TEXT(A73,"yyyy-mm"))</f>
        <v/>
      </c>
    </row>
    <row r="74">
      <c r="B74">
        <f>IF(A74="","",TEXT(A74,"yyyy-mm"))</f>
        <v/>
      </c>
    </row>
    <row r="75">
      <c r="B75">
        <f>IF(A75="","",TEXT(A75,"yyyy-mm"))</f>
        <v/>
      </c>
    </row>
    <row r="76">
      <c r="B76">
        <f>IF(A76="","",TEXT(A76,"yyyy-mm"))</f>
        <v/>
      </c>
    </row>
    <row r="77">
      <c r="B77">
        <f>IF(A77="","",TEXT(A77,"yyyy-mm"))</f>
        <v/>
      </c>
    </row>
    <row r="78">
      <c r="B78">
        <f>IF(A78="","",TEXT(A78,"yyyy-mm"))</f>
        <v/>
      </c>
    </row>
    <row r="79">
      <c r="B79">
        <f>IF(A79="","",TEXT(A79,"yyyy-mm"))</f>
        <v/>
      </c>
    </row>
    <row r="80">
      <c r="B80">
        <f>IF(A80="","",TEXT(A80,"yyyy-mm"))</f>
        <v/>
      </c>
    </row>
    <row r="81">
      <c r="B81">
        <f>IF(A81="","",TEXT(A81,"yyyy-mm"))</f>
        <v/>
      </c>
    </row>
    <row r="82">
      <c r="B82">
        <f>IF(A82="","",TEXT(A82,"yyyy-mm"))</f>
        <v/>
      </c>
    </row>
    <row r="83">
      <c r="B83">
        <f>IF(A83="","",TEXT(A83,"yyyy-mm"))</f>
        <v/>
      </c>
    </row>
    <row r="84">
      <c r="B84">
        <f>IF(A84="","",TEXT(A84,"yyyy-mm"))</f>
        <v/>
      </c>
    </row>
    <row r="85">
      <c r="B85">
        <f>IF(A85="","",TEXT(A85,"yyyy-mm"))</f>
        <v/>
      </c>
    </row>
    <row r="86">
      <c r="B86">
        <f>IF(A86="","",TEXT(A86,"yyyy-mm"))</f>
        <v/>
      </c>
    </row>
    <row r="87">
      <c r="B87">
        <f>IF(A87="","",TEXT(A87,"yyyy-mm"))</f>
        <v/>
      </c>
    </row>
    <row r="88">
      <c r="B88">
        <f>IF(A88="","",TEXT(A88,"yyyy-mm"))</f>
        <v/>
      </c>
    </row>
    <row r="89">
      <c r="B89">
        <f>IF(A89="","",TEXT(A89,"yyyy-mm"))</f>
        <v/>
      </c>
    </row>
    <row r="90">
      <c r="B90">
        <f>IF(A90="","",TEXT(A90,"yyyy-mm"))</f>
        <v/>
      </c>
    </row>
    <row r="91">
      <c r="B91">
        <f>IF(A91="","",TEXT(A91,"yyyy-mm"))</f>
        <v/>
      </c>
    </row>
    <row r="92">
      <c r="B92">
        <f>IF(A92="","",TEXT(A92,"yyyy-mm"))</f>
        <v/>
      </c>
    </row>
    <row r="93">
      <c r="B93">
        <f>IF(A93="","",TEXT(A93,"yyyy-mm"))</f>
        <v/>
      </c>
    </row>
    <row r="94">
      <c r="B94">
        <f>IF(A94="","",TEXT(A94,"yyyy-mm"))</f>
        <v/>
      </c>
    </row>
    <row r="95">
      <c r="B95">
        <f>IF(A95="","",TEXT(A95,"yyyy-mm"))</f>
        <v/>
      </c>
    </row>
    <row r="96">
      <c r="B96">
        <f>IF(A96="","",TEXT(A96,"yyyy-mm"))</f>
        <v/>
      </c>
    </row>
    <row r="97">
      <c r="B97">
        <f>IF(A97="","",TEXT(A97,"yyyy-mm"))</f>
        <v/>
      </c>
    </row>
    <row r="98">
      <c r="B98">
        <f>IF(A98="","",TEXT(A98,"yyyy-mm"))</f>
        <v/>
      </c>
    </row>
    <row r="99">
      <c r="B99">
        <f>IF(A99="","",TEXT(A99,"yyyy-mm"))</f>
        <v/>
      </c>
    </row>
    <row r="100">
      <c r="B100">
        <f>IF(A100="","",TEXT(A100,"yyyy-mm"))</f>
        <v/>
      </c>
    </row>
    <row r="101">
      <c r="B101">
        <f>IF(A101="","",TEXT(A101,"yyyy-mm"))</f>
        <v/>
      </c>
    </row>
    <row r="102">
      <c r="B102">
        <f>IF(A102="","",TEXT(A102,"yyyy-mm"))</f>
        <v/>
      </c>
    </row>
    <row r="103">
      <c r="B103">
        <f>IF(A103="","",TEXT(A103,"yyyy-mm"))</f>
        <v/>
      </c>
    </row>
    <row r="104">
      <c r="B104">
        <f>IF(A104="","",TEXT(A104,"yyyy-mm"))</f>
        <v/>
      </c>
    </row>
    <row r="105">
      <c r="B105">
        <f>IF(A105="","",TEXT(A105,"yyyy-mm"))</f>
        <v/>
      </c>
    </row>
    <row r="106">
      <c r="B106">
        <f>IF(A106="","",TEXT(A106,"yyyy-mm"))</f>
        <v/>
      </c>
    </row>
    <row r="107">
      <c r="B107">
        <f>IF(A107="","",TEXT(A107,"yyyy-mm"))</f>
        <v/>
      </c>
    </row>
    <row r="108">
      <c r="B108">
        <f>IF(A108="","",TEXT(A108,"yyyy-mm"))</f>
        <v/>
      </c>
    </row>
    <row r="109">
      <c r="B109">
        <f>IF(A109="","",TEXT(A109,"yyyy-mm"))</f>
        <v/>
      </c>
    </row>
    <row r="110">
      <c r="B110">
        <f>IF(A110="","",TEXT(A110,"yyyy-mm"))</f>
        <v/>
      </c>
    </row>
    <row r="111">
      <c r="B111">
        <f>IF(A111="","",TEXT(A111,"yyyy-mm"))</f>
        <v/>
      </c>
    </row>
    <row r="112">
      <c r="B112">
        <f>IF(A112="","",TEXT(A112,"yyyy-mm"))</f>
        <v/>
      </c>
    </row>
    <row r="113">
      <c r="B113">
        <f>IF(A113="","",TEXT(A113,"yyyy-mm"))</f>
        <v/>
      </c>
    </row>
    <row r="114">
      <c r="B114">
        <f>IF(A114="","",TEXT(A114,"yyyy-mm"))</f>
        <v/>
      </c>
    </row>
    <row r="115">
      <c r="B115">
        <f>IF(A115="","",TEXT(A115,"yyyy-mm"))</f>
        <v/>
      </c>
    </row>
    <row r="116">
      <c r="B116">
        <f>IF(A116="","",TEXT(A116,"yyyy-mm"))</f>
        <v/>
      </c>
    </row>
    <row r="117">
      <c r="B117">
        <f>IF(A117="","",TEXT(A117,"yyyy-mm"))</f>
        <v/>
      </c>
    </row>
    <row r="118">
      <c r="B118">
        <f>IF(A118="","",TEXT(A118,"yyyy-mm"))</f>
        <v/>
      </c>
    </row>
    <row r="119">
      <c r="B119">
        <f>IF(A119="","",TEXT(A119,"yyyy-mm"))</f>
        <v/>
      </c>
    </row>
    <row r="120">
      <c r="B120">
        <f>IF(A120="","",TEXT(A120,"yyyy-mm"))</f>
        <v/>
      </c>
    </row>
    <row r="121">
      <c r="B121">
        <f>IF(A121="","",TEXT(A121,"yyyy-mm"))</f>
        <v/>
      </c>
    </row>
    <row r="122">
      <c r="B122">
        <f>IF(A122="","",TEXT(A122,"yyyy-mm"))</f>
        <v/>
      </c>
    </row>
    <row r="123">
      <c r="B123">
        <f>IF(A123="","",TEXT(A123,"yyyy-mm"))</f>
        <v/>
      </c>
    </row>
    <row r="124">
      <c r="B124">
        <f>IF(A124="","",TEXT(A124,"yyyy-mm"))</f>
        <v/>
      </c>
    </row>
    <row r="125">
      <c r="B125">
        <f>IF(A125="","",TEXT(A125,"yyyy-mm"))</f>
        <v/>
      </c>
    </row>
    <row r="126">
      <c r="B126">
        <f>IF(A126="","",TEXT(A126,"yyyy-mm"))</f>
        <v/>
      </c>
    </row>
    <row r="127">
      <c r="B127">
        <f>IF(A127="","",TEXT(A127,"yyyy-mm"))</f>
        <v/>
      </c>
    </row>
    <row r="128">
      <c r="B128">
        <f>IF(A128="","",TEXT(A128,"yyyy-mm"))</f>
        <v/>
      </c>
    </row>
    <row r="129">
      <c r="B129">
        <f>IF(A129="","",TEXT(A129,"yyyy-mm"))</f>
        <v/>
      </c>
    </row>
    <row r="130">
      <c r="B130">
        <f>IF(A130="","",TEXT(A130,"yyyy-mm"))</f>
        <v/>
      </c>
    </row>
    <row r="131">
      <c r="B131">
        <f>IF(A131="","",TEXT(A131,"yyyy-mm"))</f>
        <v/>
      </c>
    </row>
    <row r="132">
      <c r="B132">
        <f>IF(A132="","",TEXT(A132,"yyyy-mm"))</f>
        <v/>
      </c>
    </row>
    <row r="133">
      <c r="B133">
        <f>IF(A133="","",TEXT(A133,"yyyy-mm"))</f>
        <v/>
      </c>
    </row>
    <row r="134">
      <c r="B134">
        <f>IF(A134="","",TEXT(A134,"yyyy-mm"))</f>
        <v/>
      </c>
    </row>
    <row r="135">
      <c r="B135">
        <f>IF(A135="","",TEXT(A135,"yyyy-mm"))</f>
        <v/>
      </c>
    </row>
    <row r="136">
      <c r="B136">
        <f>IF(A136="","",TEXT(A136,"yyyy-mm"))</f>
        <v/>
      </c>
    </row>
    <row r="137">
      <c r="B137">
        <f>IF(A137="","",TEXT(A137,"yyyy-mm"))</f>
        <v/>
      </c>
    </row>
    <row r="138">
      <c r="B138">
        <f>IF(A138="","",TEXT(A138,"yyyy-mm"))</f>
        <v/>
      </c>
    </row>
    <row r="139">
      <c r="B139">
        <f>IF(A139="","",TEXT(A139,"yyyy-mm"))</f>
        <v/>
      </c>
    </row>
    <row r="140">
      <c r="B140">
        <f>IF(A140="","",TEXT(A140,"yyyy-mm"))</f>
        <v/>
      </c>
    </row>
    <row r="141">
      <c r="B141">
        <f>IF(A141="","",TEXT(A141,"yyyy-mm"))</f>
        <v/>
      </c>
    </row>
    <row r="142">
      <c r="B142">
        <f>IF(A142="","",TEXT(A142,"yyyy-mm"))</f>
        <v/>
      </c>
    </row>
    <row r="143">
      <c r="B143">
        <f>IF(A143="","",TEXT(A143,"yyyy-mm"))</f>
        <v/>
      </c>
    </row>
    <row r="144">
      <c r="B144">
        <f>IF(A144="","",TEXT(A144,"yyyy-mm"))</f>
        <v/>
      </c>
    </row>
    <row r="145">
      <c r="B145">
        <f>IF(A145="","",TEXT(A145,"yyyy-mm"))</f>
        <v/>
      </c>
    </row>
    <row r="146">
      <c r="B146">
        <f>IF(A146="","",TEXT(A146,"yyyy-mm"))</f>
        <v/>
      </c>
    </row>
    <row r="147">
      <c r="B147">
        <f>IF(A147="","",TEXT(A147,"yyyy-mm"))</f>
        <v/>
      </c>
    </row>
    <row r="148">
      <c r="B148">
        <f>IF(A148="","",TEXT(A148,"yyyy-mm"))</f>
        <v/>
      </c>
    </row>
    <row r="149">
      <c r="B149">
        <f>IF(A149="","",TEXT(A149,"yyyy-mm"))</f>
        <v/>
      </c>
    </row>
    <row r="150">
      <c r="B150">
        <f>IF(A150="","",TEXT(A150,"yyyy-mm"))</f>
        <v/>
      </c>
    </row>
    <row r="151">
      <c r="B151">
        <f>IF(A151="","",TEXT(A151,"yyyy-mm"))</f>
        <v/>
      </c>
    </row>
    <row r="152">
      <c r="B152">
        <f>IF(A152="","",TEXT(A152,"yyyy-mm"))</f>
        <v/>
      </c>
    </row>
    <row r="153">
      <c r="B153">
        <f>IF(A153="","",TEXT(A153,"yyyy-mm"))</f>
        <v/>
      </c>
    </row>
    <row r="154">
      <c r="B154">
        <f>IF(A154="","",TEXT(A154,"yyyy-mm"))</f>
        <v/>
      </c>
    </row>
    <row r="155">
      <c r="B155">
        <f>IF(A155="","",TEXT(A155,"yyyy-mm"))</f>
        <v/>
      </c>
    </row>
    <row r="156">
      <c r="B156">
        <f>IF(A156="","",TEXT(A156,"yyyy-mm"))</f>
        <v/>
      </c>
    </row>
    <row r="157">
      <c r="B157">
        <f>IF(A157="","",TEXT(A157,"yyyy-mm"))</f>
        <v/>
      </c>
    </row>
    <row r="158">
      <c r="B158">
        <f>IF(A158="","",TEXT(A158,"yyyy-mm"))</f>
        <v/>
      </c>
    </row>
    <row r="159">
      <c r="B159">
        <f>IF(A159="","",TEXT(A159,"yyyy-mm"))</f>
        <v/>
      </c>
    </row>
    <row r="160">
      <c r="B160">
        <f>IF(A160="","",TEXT(A160,"yyyy-mm"))</f>
        <v/>
      </c>
    </row>
    <row r="161">
      <c r="B161">
        <f>IF(A161="","",TEXT(A161,"yyyy-mm"))</f>
        <v/>
      </c>
    </row>
    <row r="162">
      <c r="B162">
        <f>IF(A162="","",TEXT(A162,"yyyy-mm"))</f>
        <v/>
      </c>
    </row>
    <row r="163">
      <c r="B163">
        <f>IF(A163="","",TEXT(A163,"yyyy-mm"))</f>
        <v/>
      </c>
    </row>
    <row r="164">
      <c r="B164">
        <f>IF(A164="","",TEXT(A164,"yyyy-mm"))</f>
        <v/>
      </c>
    </row>
    <row r="165">
      <c r="B165">
        <f>IF(A165="","",TEXT(A165,"yyyy-mm"))</f>
        <v/>
      </c>
    </row>
    <row r="166">
      <c r="B166">
        <f>IF(A166="","",TEXT(A166,"yyyy-mm"))</f>
        <v/>
      </c>
    </row>
    <row r="167">
      <c r="B167">
        <f>IF(A167="","",TEXT(A167,"yyyy-mm"))</f>
        <v/>
      </c>
    </row>
    <row r="168">
      <c r="B168">
        <f>IF(A168="","",TEXT(A168,"yyyy-mm"))</f>
        <v/>
      </c>
    </row>
    <row r="169">
      <c r="B169">
        <f>IF(A169="","",TEXT(A169,"yyyy-mm"))</f>
        <v/>
      </c>
    </row>
    <row r="170">
      <c r="B170">
        <f>IF(A170="","",TEXT(A170,"yyyy-mm"))</f>
        <v/>
      </c>
    </row>
    <row r="171">
      <c r="B171">
        <f>IF(A171="","",TEXT(A171,"yyyy-mm"))</f>
        <v/>
      </c>
    </row>
    <row r="172">
      <c r="B172">
        <f>IF(A172="","",TEXT(A172,"yyyy-mm"))</f>
        <v/>
      </c>
    </row>
    <row r="173">
      <c r="B173">
        <f>IF(A173="","",TEXT(A173,"yyyy-mm"))</f>
        <v/>
      </c>
    </row>
    <row r="174">
      <c r="B174">
        <f>IF(A174="","",TEXT(A174,"yyyy-mm"))</f>
        <v/>
      </c>
    </row>
    <row r="175">
      <c r="B175">
        <f>IF(A175="","",TEXT(A175,"yyyy-mm"))</f>
        <v/>
      </c>
    </row>
    <row r="176">
      <c r="B176">
        <f>IF(A176="","",TEXT(A176,"yyyy-mm"))</f>
        <v/>
      </c>
    </row>
    <row r="177">
      <c r="B177">
        <f>IF(A177="","",TEXT(A177,"yyyy-mm"))</f>
        <v/>
      </c>
    </row>
    <row r="178">
      <c r="B178">
        <f>IF(A178="","",TEXT(A178,"yyyy-mm"))</f>
        <v/>
      </c>
    </row>
    <row r="179">
      <c r="B179">
        <f>IF(A179="","",TEXT(A179,"yyyy-mm"))</f>
        <v/>
      </c>
    </row>
    <row r="180">
      <c r="B180">
        <f>IF(A180="","",TEXT(A180,"yyyy-mm"))</f>
        <v/>
      </c>
    </row>
    <row r="181">
      <c r="B181">
        <f>IF(A181="","",TEXT(A181,"yyyy-mm"))</f>
        <v/>
      </c>
    </row>
    <row r="182">
      <c r="B182">
        <f>IF(A182="","",TEXT(A182,"yyyy-mm"))</f>
        <v/>
      </c>
    </row>
    <row r="183">
      <c r="B183">
        <f>IF(A183="","",TEXT(A183,"yyyy-mm"))</f>
        <v/>
      </c>
    </row>
    <row r="184">
      <c r="B184">
        <f>IF(A184="","",TEXT(A184,"yyyy-mm"))</f>
        <v/>
      </c>
    </row>
    <row r="185">
      <c r="B185">
        <f>IF(A185="","",TEXT(A185,"yyyy-mm"))</f>
        <v/>
      </c>
    </row>
    <row r="186">
      <c r="B186">
        <f>IF(A186="","",TEXT(A186,"yyyy-mm"))</f>
        <v/>
      </c>
    </row>
    <row r="187">
      <c r="B187">
        <f>IF(A187="","",TEXT(A187,"yyyy-mm"))</f>
        <v/>
      </c>
    </row>
    <row r="188">
      <c r="B188">
        <f>IF(A188="","",TEXT(A188,"yyyy-mm"))</f>
        <v/>
      </c>
    </row>
    <row r="189">
      <c r="B189">
        <f>IF(A189="","",TEXT(A189,"yyyy-mm"))</f>
        <v/>
      </c>
    </row>
    <row r="190">
      <c r="B190">
        <f>IF(A190="","",TEXT(A190,"yyyy-mm"))</f>
        <v/>
      </c>
    </row>
    <row r="191">
      <c r="B191">
        <f>IF(A191="","",TEXT(A191,"yyyy-mm"))</f>
        <v/>
      </c>
    </row>
    <row r="192">
      <c r="B192">
        <f>IF(A192="","",TEXT(A192,"yyyy-mm"))</f>
        <v/>
      </c>
    </row>
    <row r="193">
      <c r="B193">
        <f>IF(A193="","",TEXT(A193,"yyyy-mm"))</f>
        <v/>
      </c>
    </row>
    <row r="194">
      <c r="B194">
        <f>IF(A194="","",TEXT(A194,"yyyy-mm"))</f>
        <v/>
      </c>
    </row>
    <row r="195">
      <c r="B195">
        <f>IF(A195="","",TEXT(A195,"yyyy-mm"))</f>
        <v/>
      </c>
    </row>
    <row r="196">
      <c r="B196">
        <f>IF(A196="","",TEXT(A196,"yyyy-mm"))</f>
        <v/>
      </c>
    </row>
    <row r="197">
      <c r="B197">
        <f>IF(A197="","",TEXT(A197,"yyyy-mm"))</f>
        <v/>
      </c>
    </row>
    <row r="198">
      <c r="B198">
        <f>IF(A198="","",TEXT(A198,"yyyy-mm"))</f>
        <v/>
      </c>
    </row>
    <row r="199">
      <c r="B199">
        <f>IF(A199="","",TEXT(A199,"yyyy-mm"))</f>
        <v/>
      </c>
    </row>
    <row r="200">
      <c r="B200">
        <f>IF(A200="","",TEXT(A200,"yyyy-mm"))</f>
        <v/>
      </c>
    </row>
    <row r="201">
      <c r="B201">
        <f>IF(A201="","",TEXT(A201,"yyyy-mm"))</f>
        <v/>
      </c>
    </row>
    <row r="202">
      <c r="B202">
        <f>IF(A202="","",TEXT(A202,"yyyy-mm"))</f>
        <v/>
      </c>
    </row>
    <row r="203">
      <c r="B203">
        <f>IF(A203="","",TEXT(A203,"yyyy-mm"))</f>
        <v/>
      </c>
    </row>
    <row r="204">
      <c r="B204">
        <f>IF(A204="","",TEXT(A204,"yyyy-mm"))</f>
        <v/>
      </c>
    </row>
    <row r="205">
      <c r="B205">
        <f>IF(A205="","",TEXT(A205,"yyyy-mm"))</f>
        <v/>
      </c>
    </row>
    <row r="206">
      <c r="B206">
        <f>IF(A206="","",TEXT(A206,"yyyy-mm"))</f>
        <v/>
      </c>
    </row>
    <row r="207">
      <c r="B207">
        <f>IF(A207="","",TEXT(A207,"yyyy-mm"))</f>
        <v/>
      </c>
    </row>
    <row r="208">
      <c r="B208">
        <f>IF(A208="","",TEXT(A208,"yyyy-mm"))</f>
        <v/>
      </c>
    </row>
    <row r="209">
      <c r="B209">
        <f>IF(A209="","",TEXT(A209,"yyyy-mm"))</f>
        <v/>
      </c>
    </row>
    <row r="210">
      <c r="B210">
        <f>IF(A210="","",TEXT(A210,"yyyy-mm"))</f>
        <v/>
      </c>
    </row>
    <row r="211">
      <c r="B211">
        <f>IF(A211="","",TEXT(A211,"yyyy-mm"))</f>
        <v/>
      </c>
    </row>
    <row r="212">
      <c r="B212">
        <f>IF(A212="","",TEXT(A212,"yyyy-mm"))</f>
        <v/>
      </c>
    </row>
    <row r="213">
      <c r="B213">
        <f>IF(A213="","",TEXT(A213,"yyyy-mm"))</f>
        <v/>
      </c>
    </row>
    <row r="214">
      <c r="B214">
        <f>IF(A214="","",TEXT(A214,"yyyy-mm"))</f>
        <v/>
      </c>
    </row>
    <row r="215">
      <c r="B215">
        <f>IF(A215="","",TEXT(A215,"yyyy-mm"))</f>
        <v/>
      </c>
    </row>
    <row r="216">
      <c r="B216">
        <f>IF(A216="","",TEXT(A216,"yyyy-mm"))</f>
        <v/>
      </c>
    </row>
    <row r="217">
      <c r="B217">
        <f>IF(A217="","",TEXT(A217,"yyyy-mm"))</f>
        <v/>
      </c>
    </row>
    <row r="218">
      <c r="B218">
        <f>IF(A218="","",TEXT(A218,"yyyy-mm"))</f>
        <v/>
      </c>
    </row>
    <row r="219">
      <c r="B219">
        <f>IF(A219="","",TEXT(A219,"yyyy-mm"))</f>
        <v/>
      </c>
    </row>
    <row r="220">
      <c r="B220">
        <f>IF(A220="","",TEXT(A220,"yyyy-mm"))</f>
        <v/>
      </c>
    </row>
    <row r="221">
      <c r="B221">
        <f>IF(A221="","",TEXT(A221,"yyyy-mm"))</f>
        <v/>
      </c>
    </row>
    <row r="222">
      <c r="B222">
        <f>IF(A222="","",TEXT(A222,"yyyy-mm"))</f>
        <v/>
      </c>
    </row>
    <row r="223">
      <c r="B223">
        <f>IF(A223="","",TEXT(A223,"yyyy-mm"))</f>
        <v/>
      </c>
    </row>
    <row r="224">
      <c r="B224">
        <f>IF(A224="","",TEXT(A224,"yyyy-mm"))</f>
        <v/>
      </c>
    </row>
    <row r="225">
      <c r="B225">
        <f>IF(A225="","",TEXT(A225,"yyyy-mm"))</f>
        <v/>
      </c>
    </row>
    <row r="226">
      <c r="B226">
        <f>IF(A226="","",TEXT(A226,"yyyy-mm"))</f>
        <v/>
      </c>
    </row>
    <row r="227">
      <c r="B227">
        <f>IF(A227="","",TEXT(A227,"yyyy-mm"))</f>
        <v/>
      </c>
    </row>
    <row r="228">
      <c r="B228">
        <f>IF(A228="","",TEXT(A228,"yyyy-mm"))</f>
        <v/>
      </c>
    </row>
    <row r="229">
      <c r="B229">
        <f>IF(A229="","",TEXT(A229,"yyyy-mm"))</f>
        <v/>
      </c>
    </row>
    <row r="230">
      <c r="B230">
        <f>IF(A230="","",TEXT(A230,"yyyy-mm"))</f>
        <v/>
      </c>
    </row>
    <row r="231">
      <c r="B231">
        <f>IF(A231="","",TEXT(A231,"yyyy-mm"))</f>
        <v/>
      </c>
    </row>
    <row r="232">
      <c r="B232">
        <f>IF(A232="","",TEXT(A232,"yyyy-mm"))</f>
        <v/>
      </c>
    </row>
    <row r="233">
      <c r="B233">
        <f>IF(A233="","",TEXT(A233,"yyyy-mm"))</f>
        <v/>
      </c>
    </row>
    <row r="234">
      <c r="B234">
        <f>IF(A234="","",TEXT(A234,"yyyy-mm"))</f>
        <v/>
      </c>
    </row>
    <row r="235">
      <c r="B235">
        <f>IF(A235="","",TEXT(A235,"yyyy-mm"))</f>
        <v/>
      </c>
    </row>
    <row r="236">
      <c r="B236">
        <f>IF(A236="","",TEXT(A236,"yyyy-mm"))</f>
        <v/>
      </c>
    </row>
    <row r="237">
      <c r="B237">
        <f>IF(A237="","",TEXT(A237,"yyyy-mm"))</f>
        <v/>
      </c>
    </row>
    <row r="238">
      <c r="B238">
        <f>IF(A238="","",TEXT(A238,"yyyy-mm"))</f>
        <v/>
      </c>
    </row>
    <row r="239">
      <c r="B239">
        <f>IF(A239="","",TEXT(A239,"yyyy-mm"))</f>
        <v/>
      </c>
    </row>
    <row r="240">
      <c r="B240">
        <f>IF(A240="","",TEXT(A240,"yyyy-mm"))</f>
        <v/>
      </c>
    </row>
    <row r="241">
      <c r="B241">
        <f>IF(A241="","",TEXT(A241,"yyyy-mm"))</f>
        <v/>
      </c>
    </row>
    <row r="242">
      <c r="B242">
        <f>IF(A242="","",TEXT(A242,"yyyy-mm"))</f>
        <v/>
      </c>
    </row>
    <row r="243">
      <c r="B243">
        <f>IF(A243="","",TEXT(A243,"yyyy-mm"))</f>
        <v/>
      </c>
    </row>
    <row r="244">
      <c r="B244">
        <f>IF(A244="","",TEXT(A244,"yyyy-mm"))</f>
        <v/>
      </c>
    </row>
    <row r="245">
      <c r="B245">
        <f>IF(A245="","",TEXT(A245,"yyyy-mm"))</f>
        <v/>
      </c>
    </row>
    <row r="246">
      <c r="B246">
        <f>IF(A246="","",TEXT(A246,"yyyy-mm"))</f>
        <v/>
      </c>
    </row>
    <row r="247">
      <c r="B247">
        <f>IF(A247="","",TEXT(A247,"yyyy-mm"))</f>
        <v/>
      </c>
    </row>
    <row r="248">
      <c r="B248">
        <f>IF(A248="","",TEXT(A248,"yyyy-mm"))</f>
        <v/>
      </c>
    </row>
    <row r="249">
      <c r="B249">
        <f>IF(A249="","",TEXT(A249,"yyyy-mm"))</f>
        <v/>
      </c>
    </row>
    <row r="250">
      <c r="B250">
        <f>IF(A250="","",TEXT(A250,"yyyy-mm"))</f>
        <v/>
      </c>
    </row>
    <row r="251">
      <c r="B251">
        <f>IF(A251="","",TEXT(A251,"yyyy-mm"))</f>
        <v/>
      </c>
    </row>
    <row r="252">
      <c r="B252">
        <f>IF(A252="","",TEXT(A252,"yyyy-mm"))</f>
        <v/>
      </c>
    </row>
    <row r="253">
      <c r="B253">
        <f>IF(A253="","",TEXT(A253,"yyyy-mm"))</f>
        <v/>
      </c>
    </row>
    <row r="254">
      <c r="B254">
        <f>IF(A254="","",TEXT(A254,"yyyy-mm"))</f>
        <v/>
      </c>
    </row>
    <row r="255">
      <c r="B255">
        <f>IF(A255="","",TEXT(A255,"yyyy-mm"))</f>
        <v/>
      </c>
    </row>
    <row r="256">
      <c r="B256">
        <f>IF(A256="","",TEXT(A256,"yyyy-mm"))</f>
        <v/>
      </c>
    </row>
    <row r="257">
      <c r="B257">
        <f>IF(A257="","",TEXT(A257,"yyyy-mm"))</f>
        <v/>
      </c>
    </row>
    <row r="258">
      <c r="B258">
        <f>IF(A258="","",TEXT(A258,"yyyy-mm"))</f>
        <v/>
      </c>
    </row>
    <row r="259">
      <c r="B259">
        <f>IF(A259="","",TEXT(A259,"yyyy-mm"))</f>
        <v/>
      </c>
    </row>
    <row r="260">
      <c r="B260">
        <f>IF(A260="","",TEXT(A260,"yyyy-mm"))</f>
        <v/>
      </c>
    </row>
    <row r="261">
      <c r="B261">
        <f>IF(A261="","",TEXT(A261,"yyyy-mm"))</f>
        <v/>
      </c>
    </row>
    <row r="262">
      <c r="B262">
        <f>IF(A262="","",TEXT(A262,"yyyy-mm"))</f>
        <v/>
      </c>
    </row>
    <row r="263">
      <c r="B263">
        <f>IF(A263="","",TEXT(A263,"yyyy-mm"))</f>
        <v/>
      </c>
    </row>
    <row r="264">
      <c r="B264">
        <f>IF(A264="","",TEXT(A264,"yyyy-mm"))</f>
        <v/>
      </c>
    </row>
    <row r="265">
      <c r="B265">
        <f>IF(A265="","",TEXT(A265,"yyyy-mm"))</f>
        <v/>
      </c>
    </row>
    <row r="266">
      <c r="B266">
        <f>IF(A266="","",TEXT(A266,"yyyy-mm"))</f>
        <v/>
      </c>
    </row>
    <row r="267">
      <c r="B267">
        <f>IF(A267="","",TEXT(A267,"yyyy-mm"))</f>
        <v/>
      </c>
    </row>
    <row r="268">
      <c r="B268">
        <f>IF(A268="","",TEXT(A268,"yyyy-mm"))</f>
        <v/>
      </c>
    </row>
    <row r="269">
      <c r="B269">
        <f>IF(A269="","",TEXT(A269,"yyyy-mm"))</f>
        <v/>
      </c>
    </row>
    <row r="270">
      <c r="B270">
        <f>IF(A270="","",TEXT(A270,"yyyy-mm"))</f>
        <v/>
      </c>
    </row>
    <row r="271">
      <c r="B271">
        <f>IF(A271="","",TEXT(A271,"yyyy-mm"))</f>
        <v/>
      </c>
    </row>
    <row r="272">
      <c r="B272">
        <f>IF(A272="","",TEXT(A272,"yyyy-mm"))</f>
        <v/>
      </c>
    </row>
    <row r="273">
      <c r="B273">
        <f>IF(A273="","",TEXT(A273,"yyyy-mm"))</f>
        <v/>
      </c>
    </row>
    <row r="274">
      <c r="B274">
        <f>IF(A274="","",TEXT(A274,"yyyy-mm"))</f>
        <v/>
      </c>
    </row>
    <row r="275">
      <c r="B275">
        <f>IF(A275="","",TEXT(A275,"yyyy-mm"))</f>
        <v/>
      </c>
    </row>
    <row r="276">
      <c r="B276">
        <f>IF(A276="","",TEXT(A276,"yyyy-mm"))</f>
        <v/>
      </c>
    </row>
    <row r="277">
      <c r="B277">
        <f>IF(A277="","",TEXT(A277,"yyyy-mm"))</f>
        <v/>
      </c>
    </row>
    <row r="278">
      <c r="B278">
        <f>IF(A278="","",TEXT(A278,"yyyy-mm"))</f>
        <v/>
      </c>
    </row>
    <row r="279">
      <c r="B279">
        <f>IF(A279="","",TEXT(A279,"yyyy-mm"))</f>
        <v/>
      </c>
    </row>
    <row r="280">
      <c r="B280">
        <f>IF(A280="","",TEXT(A280,"yyyy-mm"))</f>
        <v/>
      </c>
    </row>
    <row r="281">
      <c r="B281">
        <f>IF(A281="","",TEXT(A281,"yyyy-mm"))</f>
        <v/>
      </c>
    </row>
    <row r="282">
      <c r="B282">
        <f>IF(A282="","",TEXT(A282,"yyyy-mm"))</f>
        <v/>
      </c>
    </row>
    <row r="283">
      <c r="B283">
        <f>IF(A283="","",TEXT(A283,"yyyy-mm"))</f>
        <v/>
      </c>
    </row>
    <row r="284">
      <c r="B284">
        <f>IF(A284="","",TEXT(A284,"yyyy-mm"))</f>
        <v/>
      </c>
    </row>
    <row r="285">
      <c r="B285">
        <f>IF(A285="","",TEXT(A285,"yyyy-mm"))</f>
        <v/>
      </c>
    </row>
    <row r="286">
      <c r="B286">
        <f>IF(A286="","",TEXT(A286,"yyyy-mm"))</f>
        <v/>
      </c>
    </row>
    <row r="287">
      <c r="B287">
        <f>IF(A287="","",TEXT(A287,"yyyy-mm"))</f>
        <v/>
      </c>
    </row>
    <row r="288">
      <c r="B288">
        <f>IF(A288="","",TEXT(A288,"yyyy-mm"))</f>
        <v/>
      </c>
    </row>
    <row r="289">
      <c r="B289">
        <f>IF(A289="","",TEXT(A289,"yyyy-mm"))</f>
        <v/>
      </c>
    </row>
    <row r="290">
      <c r="B290">
        <f>IF(A290="","",TEXT(A290,"yyyy-mm"))</f>
        <v/>
      </c>
    </row>
    <row r="291">
      <c r="B291">
        <f>IF(A291="","",TEXT(A291,"yyyy-mm"))</f>
        <v/>
      </c>
    </row>
    <row r="292">
      <c r="B292">
        <f>IF(A292="","",TEXT(A292,"yyyy-mm"))</f>
        <v/>
      </c>
    </row>
    <row r="293">
      <c r="B293">
        <f>IF(A293="","",TEXT(A293,"yyyy-mm"))</f>
        <v/>
      </c>
    </row>
    <row r="294">
      <c r="B294">
        <f>IF(A294="","",TEXT(A294,"yyyy-mm"))</f>
        <v/>
      </c>
    </row>
    <row r="295">
      <c r="B295">
        <f>IF(A295="","",TEXT(A295,"yyyy-mm"))</f>
        <v/>
      </c>
    </row>
    <row r="296">
      <c r="B296">
        <f>IF(A296="","",TEXT(A296,"yyyy-mm"))</f>
        <v/>
      </c>
    </row>
    <row r="297">
      <c r="B297">
        <f>IF(A297="","",TEXT(A297,"yyyy-mm"))</f>
        <v/>
      </c>
    </row>
    <row r="298">
      <c r="B298">
        <f>IF(A298="","",TEXT(A298,"yyyy-mm"))</f>
        <v/>
      </c>
    </row>
    <row r="299">
      <c r="B299">
        <f>IF(A299="","",TEXT(A299,"yyyy-mm"))</f>
        <v/>
      </c>
    </row>
    <row r="300">
      <c r="B300">
        <f>IF(A300="","",TEXT(A300,"yyyy-mm"))</f>
        <v/>
      </c>
    </row>
    <row r="301">
      <c r="B301">
        <f>IF(A301="","",TEXT(A301,"yyyy-mm"))</f>
        <v/>
      </c>
    </row>
    <row r="302">
      <c r="B302">
        <f>IF(A302="","",TEXT(A302,"yyyy-mm"))</f>
        <v/>
      </c>
    </row>
    <row r="303">
      <c r="B303">
        <f>IF(A303="","",TEXT(A303,"yyyy-mm"))</f>
        <v/>
      </c>
    </row>
    <row r="304">
      <c r="B304">
        <f>IF(A304="","",TEXT(A304,"yyyy-mm"))</f>
        <v/>
      </c>
    </row>
    <row r="305">
      <c r="B305">
        <f>IF(A305="","",TEXT(A305,"yyyy-mm"))</f>
        <v/>
      </c>
    </row>
    <row r="306">
      <c r="B306">
        <f>IF(A306="","",TEXT(A306,"yyyy-mm"))</f>
        <v/>
      </c>
    </row>
    <row r="307">
      <c r="B307">
        <f>IF(A307="","",TEXT(A307,"yyyy-mm"))</f>
        <v/>
      </c>
    </row>
    <row r="308">
      <c r="B308">
        <f>IF(A308="","",TEXT(A308,"yyyy-mm"))</f>
        <v/>
      </c>
    </row>
    <row r="309">
      <c r="B309">
        <f>IF(A309="","",TEXT(A309,"yyyy-mm"))</f>
        <v/>
      </c>
    </row>
    <row r="310">
      <c r="B310">
        <f>IF(A310="","",TEXT(A310,"yyyy-mm"))</f>
        <v/>
      </c>
    </row>
    <row r="311">
      <c r="B311">
        <f>IF(A311="","",TEXT(A311,"yyyy-mm"))</f>
        <v/>
      </c>
    </row>
    <row r="312">
      <c r="B312">
        <f>IF(A312="","",TEXT(A312,"yyyy-mm"))</f>
        <v/>
      </c>
    </row>
    <row r="313">
      <c r="B313">
        <f>IF(A313="","",TEXT(A313,"yyyy-mm"))</f>
        <v/>
      </c>
    </row>
    <row r="314">
      <c r="B314">
        <f>IF(A314="","",TEXT(A314,"yyyy-mm"))</f>
        <v/>
      </c>
    </row>
    <row r="315">
      <c r="B315">
        <f>IF(A315="","",TEXT(A315,"yyyy-mm"))</f>
        <v/>
      </c>
    </row>
    <row r="316">
      <c r="B316">
        <f>IF(A316="","",TEXT(A316,"yyyy-mm"))</f>
        <v/>
      </c>
    </row>
    <row r="317">
      <c r="B317">
        <f>IF(A317="","",TEXT(A317,"yyyy-mm"))</f>
        <v/>
      </c>
    </row>
    <row r="318">
      <c r="B318">
        <f>IF(A318="","",TEXT(A318,"yyyy-mm"))</f>
        <v/>
      </c>
    </row>
    <row r="319">
      <c r="B319">
        <f>IF(A319="","",TEXT(A319,"yyyy-mm"))</f>
        <v/>
      </c>
    </row>
    <row r="320">
      <c r="B320">
        <f>IF(A320="","",TEXT(A320,"yyyy-mm"))</f>
        <v/>
      </c>
    </row>
    <row r="321">
      <c r="B321">
        <f>IF(A321="","",TEXT(A321,"yyyy-mm"))</f>
        <v/>
      </c>
    </row>
    <row r="322">
      <c r="B322">
        <f>IF(A322="","",TEXT(A322,"yyyy-mm"))</f>
        <v/>
      </c>
    </row>
    <row r="323">
      <c r="B323">
        <f>IF(A323="","",TEXT(A323,"yyyy-mm"))</f>
        <v/>
      </c>
    </row>
    <row r="324">
      <c r="B324">
        <f>IF(A324="","",TEXT(A324,"yyyy-mm"))</f>
        <v/>
      </c>
    </row>
    <row r="325">
      <c r="B325">
        <f>IF(A325="","",TEXT(A325,"yyyy-mm"))</f>
        <v/>
      </c>
    </row>
    <row r="326">
      <c r="B326">
        <f>IF(A326="","",TEXT(A326,"yyyy-mm"))</f>
        <v/>
      </c>
    </row>
    <row r="327">
      <c r="B327">
        <f>IF(A327="","",TEXT(A327,"yyyy-mm"))</f>
        <v/>
      </c>
    </row>
    <row r="328">
      <c r="B328">
        <f>IF(A328="","",TEXT(A328,"yyyy-mm"))</f>
        <v/>
      </c>
    </row>
    <row r="329">
      <c r="B329">
        <f>IF(A329="","",TEXT(A329,"yyyy-mm"))</f>
        <v/>
      </c>
    </row>
    <row r="330">
      <c r="B330">
        <f>IF(A330="","",TEXT(A330,"yyyy-mm"))</f>
        <v/>
      </c>
    </row>
    <row r="331">
      <c r="B331">
        <f>IF(A331="","",TEXT(A331,"yyyy-mm"))</f>
        <v/>
      </c>
    </row>
    <row r="332">
      <c r="B332">
        <f>IF(A332="","",TEXT(A332,"yyyy-mm"))</f>
        <v/>
      </c>
    </row>
    <row r="333">
      <c r="B333">
        <f>IF(A333="","",TEXT(A333,"yyyy-mm"))</f>
        <v/>
      </c>
    </row>
    <row r="334">
      <c r="B334">
        <f>IF(A334="","",TEXT(A334,"yyyy-mm"))</f>
        <v/>
      </c>
    </row>
    <row r="335">
      <c r="B335">
        <f>IF(A335="","",TEXT(A335,"yyyy-mm"))</f>
        <v/>
      </c>
    </row>
    <row r="336">
      <c r="B336">
        <f>IF(A336="","",TEXT(A336,"yyyy-mm"))</f>
        <v/>
      </c>
    </row>
    <row r="337">
      <c r="B337">
        <f>IF(A337="","",TEXT(A337,"yyyy-mm"))</f>
        <v/>
      </c>
    </row>
    <row r="338">
      <c r="B338">
        <f>IF(A338="","",TEXT(A338,"yyyy-mm"))</f>
        <v/>
      </c>
    </row>
    <row r="339">
      <c r="B339">
        <f>IF(A339="","",TEXT(A339,"yyyy-mm"))</f>
        <v/>
      </c>
    </row>
    <row r="340">
      <c r="B340">
        <f>IF(A340="","",TEXT(A340,"yyyy-mm"))</f>
        <v/>
      </c>
    </row>
    <row r="341">
      <c r="B341">
        <f>IF(A341="","",TEXT(A341,"yyyy-mm"))</f>
        <v/>
      </c>
    </row>
    <row r="342">
      <c r="B342">
        <f>IF(A342="","",TEXT(A342,"yyyy-mm"))</f>
        <v/>
      </c>
    </row>
    <row r="343">
      <c r="B343">
        <f>IF(A343="","",TEXT(A343,"yyyy-mm"))</f>
        <v/>
      </c>
    </row>
    <row r="344">
      <c r="B344">
        <f>IF(A344="","",TEXT(A344,"yyyy-mm"))</f>
        <v/>
      </c>
    </row>
    <row r="345">
      <c r="B345">
        <f>IF(A345="","",TEXT(A345,"yyyy-mm"))</f>
        <v/>
      </c>
    </row>
    <row r="346">
      <c r="B346">
        <f>IF(A346="","",TEXT(A346,"yyyy-mm"))</f>
        <v/>
      </c>
    </row>
    <row r="347">
      <c r="B347">
        <f>IF(A347="","",TEXT(A347,"yyyy-mm"))</f>
        <v/>
      </c>
    </row>
    <row r="348">
      <c r="B348">
        <f>IF(A348="","",TEXT(A348,"yyyy-mm"))</f>
        <v/>
      </c>
    </row>
    <row r="349">
      <c r="B349">
        <f>IF(A349="","",TEXT(A349,"yyyy-mm"))</f>
        <v/>
      </c>
    </row>
    <row r="350">
      <c r="B350">
        <f>IF(A350="","",TEXT(A350,"yyyy-mm"))</f>
        <v/>
      </c>
    </row>
    <row r="351">
      <c r="B351">
        <f>IF(A351="","",TEXT(A351,"yyyy-mm"))</f>
        <v/>
      </c>
    </row>
    <row r="352">
      <c r="B352">
        <f>IF(A352="","",TEXT(A352,"yyyy-mm"))</f>
        <v/>
      </c>
    </row>
    <row r="353">
      <c r="B353">
        <f>IF(A353="","",TEXT(A353,"yyyy-mm"))</f>
        <v/>
      </c>
    </row>
    <row r="354">
      <c r="B354">
        <f>IF(A354="","",TEXT(A354,"yyyy-mm"))</f>
        <v/>
      </c>
    </row>
    <row r="355">
      <c r="B355">
        <f>IF(A355="","",TEXT(A355,"yyyy-mm"))</f>
        <v/>
      </c>
    </row>
    <row r="356">
      <c r="B356">
        <f>IF(A356="","",TEXT(A356,"yyyy-mm"))</f>
        <v/>
      </c>
    </row>
    <row r="357">
      <c r="B357">
        <f>IF(A357="","",TEXT(A357,"yyyy-mm"))</f>
        <v/>
      </c>
    </row>
    <row r="358">
      <c r="B358">
        <f>IF(A358="","",TEXT(A358,"yyyy-mm"))</f>
        <v/>
      </c>
    </row>
    <row r="359">
      <c r="B359">
        <f>IF(A359="","",TEXT(A359,"yyyy-mm"))</f>
        <v/>
      </c>
    </row>
    <row r="360">
      <c r="B360">
        <f>IF(A360="","",TEXT(A360,"yyyy-mm"))</f>
        <v/>
      </c>
    </row>
    <row r="361">
      <c r="B361">
        <f>IF(A361="","",TEXT(A361,"yyyy-mm"))</f>
        <v/>
      </c>
    </row>
    <row r="362">
      <c r="B362">
        <f>IF(A362="","",TEXT(A362,"yyyy-mm"))</f>
        <v/>
      </c>
    </row>
    <row r="363">
      <c r="B363">
        <f>IF(A363="","",TEXT(A363,"yyyy-mm"))</f>
        <v/>
      </c>
    </row>
    <row r="364">
      <c r="B364">
        <f>IF(A364="","",TEXT(A364,"yyyy-mm"))</f>
        <v/>
      </c>
    </row>
    <row r="365">
      <c r="B365">
        <f>IF(A365="","",TEXT(A365,"yyyy-mm"))</f>
        <v/>
      </c>
    </row>
    <row r="366">
      <c r="B366">
        <f>IF(A366="","",TEXT(A366,"yyyy-mm"))</f>
        <v/>
      </c>
    </row>
    <row r="367">
      <c r="B367">
        <f>IF(A367="","",TEXT(A367,"yyyy-mm"))</f>
        <v/>
      </c>
    </row>
    <row r="368">
      <c r="B368">
        <f>IF(A368="","",TEXT(A368,"yyyy-mm"))</f>
        <v/>
      </c>
    </row>
    <row r="369">
      <c r="B369">
        <f>IF(A369="","",TEXT(A369,"yyyy-mm"))</f>
        <v/>
      </c>
    </row>
    <row r="370">
      <c r="B370">
        <f>IF(A370="","",TEXT(A370,"yyyy-mm"))</f>
        <v/>
      </c>
    </row>
    <row r="371">
      <c r="B371">
        <f>IF(A371="","",TEXT(A371,"yyyy-mm"))</f>
        <v/>
      </c>
    </row>
    <row r="372">
      <c r="B372">
        <f>IF(A372="","",TEXT(A372,"yyyy-mm"))</f>
        <v/>
      </c>
    </row>
    <row r="373">
      <c r="B373">
        <f>IF(A373="","",TEXT(A373,"yyyy-mm"))</f>
        <v/>
      </c>
    </row>
    <row r="374">
      <c r="B374">
        <f>IF(A374="","",TEXT(A374,"yyyy-mm"))</f>
        <v/>
      </c>
    </row>
    <row r="375">
      <c r="B375">
        <f>IF(A375="","",TEXT(A375,"yyyy-mm"))</f>
        <v/>
      </c>
    </row>
    <row r="376">
      <c r="B376">
        <f>IF(A376="","",TEXT(A376,"yyyy-mm"))</f>
        <v/>
      </c>
    </row>
    <row r="377">
      <c r="B377">
        <f>IF(A377="","",TEXT(A377,"yyyy-mm"))</f>
        <v/>
      </c>
    </row>
    <row r="378">
      <c r="B378">
        <f>IF(A378="","",TEXT(A378,"yyyy-mm"))</f>
        <v/>
      </c>
    </row>
    <row r="379">
      <c r="B379">
        <f>IF(A379="","",TEXT(A379,"yyyy-mm"))</f>
        <v/>
      </c>
    </row>
    <row r="380">
      <c r="B380">
        <f>IF(A380="","",TEXT(A380,"yyyy-mm"))</f>
        <v/>
      </c>
    </row>
    <row r="381">
      <c r="B381">
        <f>IF(A381="","",TEXT(A381,"yyyy-mm"))</f>
        <v/>
      </c>
    </row>
    <row r="382">
      <c r="B382">
        <f>IF(A382="","",TEXT(A382,"yyyy-mm"))</f>
        <v/>
      </c>
    </row>
    <row r="383">
      <c r="B383">
        <f>IF(A383="","",TEXT(A383,"yyyy-mm"))</f>
        <v/>
      </c>
    </row>
    <row r="384">
      <c r="B384">
        <f>IF(A384="","",TEXT(A384,"yyyy-mm"))</f>
        <v/>
      </c>
    </row>
    <row r="385">
      <c r="B385">
        <f>IF(A385="","",TEXT(A385,"yyyy-mm"))</f>
        <v/>
      </c>
    </row>
    <row r="386">
      <c r="B386">
        <f>IF(A386="","",TEXT(A386,"yyyy-mm"))</f>
        <v/>
      </c>
    </row>
    <row r="387">
      <c r="B387">
        <f>IF(A387="","",TEXT(A387,"yyyy-mm"))</f>
        <v/>
      </c>
    </row>
    <row r="388">
      <c r="B388">
        <f>IF(A388="","",TEXT(A388,"yyyy-mm"))</f>
        <v/>
      </c>
    </row>
    <row r="389">
      <c r="B389">
        <f>IF(A389="","",TEXT(A389,"yyyy-mm"))</f>
        <v/>
      </c>
    </row>
    <row r="390">
      <c r="B390">
        <f>IF(A390="","",TEXT(A390,"yyyy-mm"))</f>
        <v/>
      </c>
    </row>
    <row r="391">
      <c r="B391">
        <f>IF(A391="","",TEXT(A391,"yyyy-mm"))</f>
        <v/>
      </c>
    </row>
    <row r="392">
      <c r="B392">
        <f>IF(A392="","",TEXT(A392,"yyyy-mm"))</f>
        <v/>
      </c>
    </row>
    <row r="393">
      <c r="B393">
        <f>IF(A393="","",TEXT(A393,"yyyy-mm"))</f>
        <v/>
      </c>
    </row>
    <row r="394">
      <c r="B394">
        <f>IF(A394="","",TEXT(A394,"yyyy-mm"))</f>
        <v/>
      </c>
    </row>
    <row r="395">
      <c r="B395">
        <f>IF(A395="","",TEXT(A395,"yyyy-mm"))</f>
        <v/>
      </c>
    </row>
    <row r="396">
      <c r="B396">
        <f>IF(A396="","",TEXT(A396,"yyyy-mm"))</f>
        <v/>
      </c>
    </row>
    <row r="397">
      <c r="B397">
        <f>IF(A397="","",TEXT(A397,"yyyy-mm"))</f>
        <v/>
      </c>
    </row>
    <row r="398">
      <c r="B398">
        <f>IF(A398="","",TEXT(A398,"yyyy-mm"))</f>
        <v/>
      </c>
    </row>
    <row r="399">
      <c r="B399">
        <f>IF(A399="","",TEXT(A399,"yyyy-mm"))</f>
        <v/>
      </c>
    </row>
    <row r="400">
      <c r="B400">
        <f>IF(A400="","",TEXT(A400,"yyyy-mm"))</f>
        <v/>
      </c>
    </row>
    <row r="401">
      <c r="B401">
        <f>IF(A401="","",TEXT(A401,"yyyy-mm"))</f>
        <v/>
      </c>
    </row>
    <row r="402">
      <c r="B402">
        <f>IF(A402="","",TEXT(A402,"yyyy-mm"))</f>
        <v/>
      </c>
    </row>
    <row r="403">
      <c r="B403">
        <f>IF(A403="","",TEXT(A403,"yyyy-mm"))</f>
        <v/>
      </c>
    </row>
    <row r="404">
      <c r="B404">
        <f>IF(A404="","",TEXT(A404,"yyyy-mm"))</f>
        <v/>
      </c>
    </row>
    <row r="405">
      <c r="B405">
        <f>IF(A405="","",TEXT(A405,"yyyy-mm"))</f>
        <v/>
      </c>
    </row>
    <row r="406">
      <c r="B406">
        <f>IF(A406="","",TEXT(A406,"yyyy-mm"))</f>
        <v/>
      </c>
    </row>
    <row r="407">
      <c r="B407">
        <f>IF(A407="","",TEXT(A407,"yyyy-mm"))</f>
        <v/>
      </c>
    </row>
    <row r="408">
      <c r="B408">
        <f>IF(A408="","",TEXT(A408,"yyyy-mm"))</f>
        <v/>
      </c>
    </row>
    <row r="409">
      <c r="B409">
        <f>IF(A409="","",TEXT(A409,"yyyy-mm"))</f>
        <v/>
      </c>
    </row>
    <row r="410">
      <c r="B410">
        <f>IF(A410="","",TEXT(A410,"yyyy-mm"))</f>
        <v/>
      </c>
    </row>
    <row r="411">
      <c r="B411">
        <f>IF(A411="","",TEXT(A411,"yyyy-mm"))</f>
        <v/>
      </c>
    </row>
    <row r="412">
      <c r="B412">
        <f>IF(A412="","",TEXT(A412,"yyyy-mm"))</f>
        <v/>
      </c>
    </row>
    <row r="413">
      <c r="B413">
        <f>IF(A413="","",TEXT(A413,"yyyy-mm"))</f>
        <v/>
      </c>
    </row>
    <row r="414">
      <c r="B414">
        <f>IF(A414="","",TEXT(A414,"yyyy-mm"))</f>
        <v/>
      </c>
    </row>
    <row r="415">
      <c r="B415">
        <f>IF(A415="","",TEXT(A415,"yyyy-mm"))</f>
        <v/>
      </c>
    </row>
    <row r="416">
      <c r="B416">
        <f>IF(A416="","",TEXT(A416,"yyyy-mm"))</f>
        <v/>
      </c>
    </row>
    <row r="417">
      <c r="B417">
        <f>IF(A417="","",TEXT(A417,"yyyy-mm"))</f>
        <v/>
      </c>
    </row>
    <row r="418">
      <c r="B418">
        <f>IF(A418="","",TEXT(A418,"yyyy-mm"))</f>
        <v/>
      </c>
    </row>
    <row r="419">
      <c r="B419">
        <f>IF(A419="","",TEXT(A419,"yyyy-mm"))</f>
        <v/>
      </c>
    </row>
    <row r="420">
      <c r="B420">
        <f>IF(A420="","",TEXT(A420,"yyyy-mm"))</f>
        <v/>
      </c>
    </row>
    <row r="421">
      <c r="B421">
        <f>IF(A421="","",TEXT(A421,"yyyy-mm"))</f>
        <v/>
      </c>
    </row>
    <row r="422">
      <c r="B422">
        <f>IF(A422="","",TEXT(A422,"yyyy-mm"))</f>
        <v/>
      </c>
    </row>
    <row r="423">
      <c r="B423">
        <f>IF(A423="","",TEXT(A423,"yyyy-mm"))</f>
        <v/>
      </c>
    </row>
    <row r="424">
      <c r="B424">
        <f>IF(A424="","",TEXT(A424,"yyyy-mm"))</f>
        <v/>
      </c>
    </row>
    <row r="425">
      <c r="B425">
        <f>IF(A425="","",TEXT(A425,"yyyy-mm"))</f>
        <v/>
      </c>
    </row>
    <row r="426">
      <c r="B426">
        <f>IF(A426="","",TEXT(A426,"yyyy-mm"))</f>
        <v/>
      </c>
    </row>
    <row r="427">
      <c r="B427">
        <f>IF(A427="","",TEXT(A427,"yyyy-mm"))</f>
        <v/>
      </c>
    </row>
    <row r="428">
      <c r="B428">
        <f>IF(A428="","",TEXT(A428,"yyyy-mm"))</f>
        <v/>
      </c>
    </row>
    <row r="429">
      <c r="B429">
        <f>IF(A429="","",TEXT(A429,"yyyy-mm"))</f>
        <v/>
      </c>
    </row>
    <row r="430">
      <c r="B430">
        <f>IF(A430="","",TEXT(A430,"yyyy-mm"))</f>
        <v/>
      </c>
    </row>
    <row r="431">
      <c r="B431">
        <f>IF(A431="","",TEXT(A431,"yyyy-mm"))</f>
        <v/>
      </c>
    </row>
    <row r="432">
      <c r="B432">
        <f>IF(A432="","",TEXT(A432,"yyyy-mm"))</f>
        <v/>
      </c>
    </row>
    <row r="433">
      <c r="B433">
        <f>IF(A433="","",TEXT(A433,"yyyy-mm"))</f>
        <v/>
      </c>
    </row>
    <row r="434">
      <c r="B434">
        <f>IF(A434="","",TEXT(A434,"yyyy-mm"))</f>
        <v/>
      </c>
    </row>
    <row r="435">
      <c r="B435">
        <f>IF(A435="","",TEXT(A435,"yyyy-mm"))</f>
        <v/>
      </c>
    </row>
    <row r="436">
      <c r="B436">
        <f>IF(A436="","",TEXT(A436,"yyyy-mm"))</f>
        <v/>
      </c>
    </row>
    <row r="437">
      <c r="B437">
        <f>IF(A437="","",TEXT(A437,"yyyy-mm"))</f>
        <v/>
      </c>
    </row>
    <row r="438">
      <c r="B438">
        <f>IF(A438="","",TEXT(A438,"yyyy-mm"))</f>
        <v/>
      </c>
    </row>
    <row r="439">
      <c r="B439">
        <f>IF(A439="","",TEXT(A439,"yyyy-mm"))</f>
        <v/>
      </c>
    </row>
    <row r="440">
      <c r="B440">
        <f>IF(A440="","",TEXT(A440,"yyyy-mm"))</f>
        <v/>
      </c>
    </row>
    <row r="441">
      <c r="B441">
        <f>IF(A441="","",TEXT(A441,"yyyy-mm"))</f>
        <v/>
      </c>
    </row>
    <row r="442">
      <c r="B442">
        <f>IF(A442="","",TEXT(A442,"yyyy-mm"))</f>
        <v/>
      </c>
    </row>
    <row r="443">
      <c r="B443">
        <f>IF(A443="","",TEXT(A443,"yyyy-mm"))</f>
        <v/>
      </c>
    </row>
    <row r="444">
      <c r="B444">
        <f>IF(A444="","",TEXT(A444,"yyyy-mm"))</f>
        <v/>
      </c>
    </row>
    <row r="445">
      <c r="B445">
        <f>IF(A445="","",TEXT(A445,"yyyy-mm"))</f>
        <v/>
      </c>
    </row>
    <row r="446">
      <c r="B446">
        <f>IF(A446="","",TEXT(A446,"yyyy-mm"))</f>
        <v/>
      </c>
    </row>
    <row r="447">
      <c r="B447">
        <f>IF(A447="","",TEXT(A447,"yyyy-mm"))</f>
        <v/>
      </c>
    </row>
    <row r="448">
      <c r="B448">
        <f>IF(A448="","",TEXT(A448,"yyyy-mm"))</f>
        <v/>
      </c>
    </row>
    <row r="449">
      <c r="B449">
        <f>IF(A449="","",TEXT(A449,"yyyy-mm"))</f>
        <v/>
      </c>
    </row>
    <row r="450">
      <c r="B450">
        <f>IF(A450="","",TEXT(A450,"yyyy-mm"))</f>
        <v/>
      </c>
    </row>
    <row r="451">
      <c r="B451">
        <f>IF(A451="","",TEXT(A451,"yyyy-mm"))</f>
        <v/>
      </c>
    </row>
    <row r="452">
      <c r="B452">
        <f>IF(A452="","",TEXT(A452,"yyyy-mm"))</f>
        <v/>
      </c>
    </row>
    <row r="453">
      <c r="B453">
        <f>IF(A453="","",TEXT(A453,"yyyy-mm"))</f>
        <v/>
      </c>
    </row>
    <row r="454">
      <c r="B454">
        <f>IF(A454="","",TEXT(A454,"yyyy-mm"))</f>
        <v/>
      </c>
    </row>
    <row r="455">
      <c r="B455">
        <f>IF(A455="","",TEXT(A455,"yyyy-mm"))</f>
        <v/>
      </c>
    </row>
    <row r="456">
      <c r="B456">
        <f>IF(A456="","",TEXT(A456,"yyyy-mm"))</f>
        <v/>
      </c>
    </row>
    <row r="457">
      <c r="B457">
        <f>IF(A457="","",TEXT(A457,"yyyy-mm"))</f>
        <v/>
      </c>
    </row>
    <row r="458">
      <c r="B458">
        <f>IF(A458="","",TEXT(A458,"yyyy-mm"))</f>
        <v/>
      </c>
    </row>
    <row r="459">
      <c r="B459">
        <f>IF(A459="","",TEXT(A459,"yyyy-mm"))</f>
        <v/>
      </c>
    </row>
    <row r="460">
      <c r="B460">
        <f>IF(A460="","",TEXT(A460,"yyyy-mm"))</f>
        <v/>
      </c>
    </row>
    <row r="461">
      <c r="B461">
        <f>IF(A461="","",TEXT(A461,"yyyy-mm"))</f>
        <v/>
      </c>
    </row>
    <row r="462">
      <c r="B462">
        <f>IF(A462="","",TEXT(A462,"yyyy-mm"))</f>
        <v/>
      </c>
    </row>
    <row r="463">
      <c r="B463">
        <f>IF(A463="","",TEXT(A463,"yyyy-mm"))</f>
        <v/>
      </c>
    </row>
    <row r="464">
      <c r="B464">
        <f>IF(A464="","",TEXT(A464,"yyyy-mm"))</f>
        <v/>
      </c>
    </row>
    <row r="465">
      <c r="B465">
        <f>IF(A465="","",TEXT(A465,"yyyy-mm"))</f>
        <v/>
      </c>
    </row>
    <row r="466">
      <c r="B466">
        <f>IF(A466="","",TEXT(A466,"yyyy-mm"))</f>
        <v/>
      </c>
    </row>
    <row r="467">
      <c r="B467">
        <f>IF(A467="","",TEXT(A467,"yyyy-mm"))</f>
        <v/>
      </c>
    </row>
    <row r="468">
      <c r="B468">
        <f>IF(A468="","",TEXT(A468,"yyyy-mm"))</f>
        <v/>
      </c>
    </row>
    <row r="469">
      <c r="B469">
        <f>IF(A469="","",TEXT(A469,"yyyy-mm"))</f>
        <v/>
      </c>
    </row>
    <row r="470">
      <c r="B470">
        <f>IF(A470="","",TEXT(A470,"yyyy-mm"))</f>
        <v/>
      </c>
    </row>
    <row r="471">
      <c r="B471">
        <f>IF(A471="","",TEXT(A471,"yyyy-mm"))</f>
        <v/>
      </c>
    </row>
    <row r="472">
      <c r="B472">
        <f>IF(A472="","",TEXT(A472,"yyyy-mm"))</f>
        <v/>
      </c>
    </row>
    <row r="473">
      <c r="B473">
        <f>IF(A473="","",TEXT(A473,"yyyy-mm"))</f>
        <v/>
      </c>
    </row>
    <row r="474">
      <c r="B474">
        <f>IF(A474="","",TEXT(A474,"yyyy-mm"))</f>
        <v/>
      </c>
    </row>
    <row r="475">
      <c r="B475">
        <f>IF(A475="","",TEXT(A475,"yyyy-mm"))</f>
        <v/>
      </c>
    </row>
    <row r="476">
      <c r="B476">
        <f>IF(A476="","",TEXT(A476,"yyyy-mm"))</f>
        <v/>
      </c>
    </row>
    <row r="477">
      <c r="B477">
        <f>IF(A477="","",TEXT(A477,"yyyy-mm"))</f>
        <v/>
      </c>
    </row>
    <row r="478">
      <c r="B478">
        <f>IF(A478="","",TEXT(A478,"yyyy-mm"))</f>
        <v/>
      </c>
    </row>
    <row r="479">
      <c r="B479">
        <f>IF(A479="","",TEXT(A479,"yyyy-mm"))</f>
        <v/>
      </c>
    </row>
    <row r="480">
      <c r="B480">
        <f>IF(A480="","",TEXT(A480,"yyyy-mm"))</f>
        <v/>
      </c>
    </row>
    <row r="481">
      <c r="B481">
        <f>IF(A481="","",TEXT(A481,"yyyy-mm"))</f>
        <v/>
      </c>
    </row>
    <row r="482">
      <c r="B482">
        <f>IF(A482="","",TEXT(A482,"yyyy-mm"))</f>
        <v/>
      </c>
    </row>
    <row r="483">
      <c r="B483">
        <f>IF(A483="","",TEXT(A483,"yyyy-mm"))</f>
        <v/>
      </c>
    </row>
    <row r="484">
      <c r="B484">
        <f>IF(A484="","",TEXT(A484,"yyyy-mm"))</f>
        <v/>
      </c>
    </row>
    <row r="485">
      <c r="B485">
        <f>IF(A485="","",TEXT(A485,"yyyy-mm"))</f>
        <v/>
      </c>
    </row>
    <row r="486">
      <c r="B486">
        <f>IF(A486="","",TEXT(A486,"yyyy-mm"))</f>
        <v/>
      </c>
    </row>
    <row r="487">
      <c r="B487">
        <f>IF(A487="","",TEXT(A487,"yyyy-mm"))</f>
        <v/>
      </c>
    </row>
    <row r="488">
      <c r="B488">
        <f>IF(A488="","",TEXT(A488,"yyyy-mm"))</f>
        <v/>
      </c>
    </row>
    <row r="489">
      <c r="B489">
        <f>IF(A489="","",TEXT(A489,"yyyy-mm"))</f>
        <v/>
      </c>
    </row>
    <row r="490">
      <c r="B490">
        <f>IF(A490="","",TEXT(A490,"yyyy-mm"))</f>
        <v/>
      </c>
    </row>
    <row r="491">
      <c r="B491">
        <f>IF(A491="","",TEXT(A491,"yyyy-mm"))</f>
        <v/>
      </c>
    </row>
    <row r="492">
      <c r="B492">
        <f>IF(A492="","",TEXT(A492,"yyyy-mm"))</f>
        <v/>
      </c>
    </row>
    <row r="493">
      <c r="B493">
        <f>IF(A493="","",TEXT(A493,"yyyy-mm"))</f>
        <v/>
      </c>
    </row>
    <row r="494">
      <c r="B494">
        <f>IF(A494="","",TEXT(A494,"yyyy-mm"))</f>
        <v/>
      </c>
    </row>
    <row r="495">
      <c r="B495">
        <f>IF(A495="","",TEXT(A495,"yyyy-mm"))</f>
        <v/>
      </c>
    </row>
    <row r="496">
      <c r="B496">
        <f>IF(A496="","",TEXT(A496,"yyyy-mm"))</f>
        <v/>
      </c>
    </row>
    <row r="497">
      <c r="B497">
        <f>IF(A497="","",TEXT(A497,"yyyy-mm"))</f>
        <v/>
      </c>
    </row>
    <row r="498">
      <c r="B498">
        <f>IF(A498="","",TEXT(A498,"yyyy-mm"))</f>
        <v/>
      </c>
    </row>
    <row r="499">
      <c r="B499">
        <f>IF(A499="","",TEXT(A499,"yyyy-mm"))</f>
        <v/>
      </c>
    </row>
    <row r="500">
      <c r="B500">
        <f>IF(A500="","",TEXT(A500,"yyyy-mm"))</f>
        <v/>
      </c>
    </row>
  </sheetData>
  <dataValidations count="2">
    <dataValidation sqref="D2:D1000" showDropDown="0" showInputMessage="0" showErrorMessage="0" allowBlank="0" type="list">
      <formula1>"Tech,AI tokens,Rewards,Commission,Print,Travel,Ads,Reserve,Other"</formula1>
    </dataValidation>
    <dataValidation sqref="H2:H10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2" customWidth="1" min="5" max="5"/>
    <col width="22" customWidth="1" min="6" max="6"/>
    <col width="14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Month (auto)</t>
        </is>
      </c>
      <c r="C1" s="1" t="inlineStr">
        <is>
          <t>Tenant (last 4 digits of phone)</t>
        </is>
      </c>
      <c r="D1" s="1" t="inlineStr">
        <is>
          <t>Type</t>
        </is>
      </c>
      <c r="E1" s="1" t="inlineStr">
        <is>
          <t>Amount (₹)</t>
        </is>
      </c>
      <c r="F1" s="1" t="inlineStr">
        <is>
          <t>Paid how (UPI / invoice credit)</t>
        </is>
      </c>
      <c r="G1" s="1" t="inlineStr">
        <is>
          <t>Waitlisted? (Y/N)</t>
        </is>
      </c>
      <c r="H1" s="1" t="inlineStr">
        <is>
          <t>Checks done (phone, UPI, owner-confirmed)</t>
        </is>
      </c>
    </row>
    <row r="2">
      <c r="B2">
        <f>IF(A2="","",TEXT(A2,"yyyy-mm"))</f>
        <v/>
      </c>
    </row>
    <row r="3">
      <c r="B3">
        <f>IF(A3="","",TEXT(A3,"yyyy-mm"))</f>
        <v/>
      </c>
    </row>
    <row r="4">
      <c r="B4">
        <f>IF(A4="","",TEXT(A4,"yyyy-mm"))</f>
        <v/>
      </c>
    </row>
    <row r="5">
      <c r="B5">
        <f>IF(A5="","",TEXT(A5,"yyyy-mm"))</f>
        <v/>
      </c>
    </row>
    <row r="6">
      <c r="B6">
        <f>IF(A6="","",TEXT(A6,"yyyy-mm"))</f>
        <v/>
      </c>
    </row>
    <row r="7">
      <c r="B7">
        <f>IF(A7="","",TEXT(A7,"yyyy-mm"))</f>
        <v/>
      </c>
    </row>
    <row r="8">
      <c r="B8">
        <f>IF(A8="","",TEXT(A8,"yyyy-mm"))</f>
        <v/>
      </c>
    </row>
    <row r="9">
      <c r="B9">
        <f>IF(A9="","",TEXT(A9,"yyyy-mm"))</f>
        <v/>
      </c>
    </row>
    <row r="10">
      <c r="B10">
        <f>IF(A10="","",TEXT(A10,"yyyy-mm"))</f>
        <v/>
      </c>
    </row>
    <row r="11">
      <c r="B11">
        <f>IF(A11="","",TEXT(A11,"yyyy-mm"))</f>
        <v/>
      </c>
    </row>
    <row r="12">
      <c r="B12">
        <f>IF(A12="","",TEXT(A12,"yyyy-mm"))</f>
        <v/>
      </c>
    </row>
    <row r="13">
      <c r="B13">
        <f>IF(A13="","",TEXT(A13,"yyyy-mm"))</f>
        <v/>
      </c>
    </row>
    <row r="14">
      <c r="B14">
        <f>IF(A14="","",TEXT(A14,"yyyy-mm"))</f>
        <v/>
      </c>
    </row>
    <row r="15">
      <c r="B15">
        <f>IF(A15="","",TEXT(A15,"yyyy-mm"))</f>
        <v/>
      </c>
    </row>
    <row r="16">
      <c r="B16">
        <f>IF(A16="","",TEXT(A16,"yyyy-mm"))</f>
        <v/>
      </c>
    </row>
    <row r="17">
      <c r="B17">
        <f>IF(A17="","",TEXT(A17,"yyyy-mm"))</f>
        <v/>
      </c>
    </row>
    <row r="18">
      <c r="B18">
        <f>IF(A18="","",TEXT(A18,"yyyy-mm"))</f>
        <v/>
      </c>
    </row>
    <row r="19">
      <c r="B19">
        <f>IF(A19="","",TEXT(A19,"yyyy-mm"))</f>
        <v/>
      </c>
    </row>
    <row r="20">
      <c r="B20">
        <f>IF(A20="","",TEXT(A20,"yyyy-mm"))</f>
        <v/>
      </c>
    </row>
    <row r="21">
      <c r="B21">
        <f>IF(A21="","",TEXT(A21,"yyyy-mm"))</f>
        <v/>
      </c>
    </row>
    <row r="22">
      <c r="B22">
        <f>IF(A22="","",TEXT(A22,"yyyy-mm"))</f>
        <v/>
      </c>
    </row>
    <row r="23">
      <c r="B23">
        <f>IF(A23="","",TEXT(A23,"yyyy-mm"))</f>
        <v/>
      </c>
    </row>
    <row r="24">
      <c r="B24">
        <f>IF(A24="","",TEXT(A24,"yyyy-mm"))</f>
        <v/>
      </c>
    </row>
    <row r="25">
      <c r="B25">
        <f>IF(A25="","",TEXT(A25,"yyyy-mm"))</f>
        <v/>
      </c>
    </row>
    <row r="26">
      <c r="B26">
        <f>IF(A26="","",TEXT(A26,"yyyy-mm"))</f>
        <v/>
      </c>
    </row>
    <row r="27">
      <c r="B27">
        <f>IF(A27="","",TEXT(A27,"yyyy-mm"))</f>
        <v/>
      </c>
    </row>
    <row r="28">
      <c r="B28">
        <f>IF(A28="","",TEXT(A28,"yyyy-mm"))</f>
        <v/>
      </c>
    </row>
    <row r="29">
      <c r="B29">
        <f>IF(A29="","",TEXT(A29,"yyyy-mm"))</f>
        <v/>
      </c>
    </row>
    <row r="30">
      <c r="B30">
        <f>IF(A30="","",TEXT(A30,"yyyy-mm"))</f>
        <v/>
      </c>
    </row>
    <row r="31">
      <c r="B31">
        <f>IF(A31="","",TEXT(A31,"yyyy-mm"))</f>
        <v/>
      </c>
    </row>
    <row r="32">
      <c r="B32">
        <f>IF(A32="","",TEXT(A32,"yyyy-mm"))</f>
        <v/>
      </c>
    </row>
    <row r="33">
      <c r="B33">
        <f>IF(A33="","",TEXT(A33,"yyyy-mm"))</f>
        <v/>
      </c>
    </row>
    <row r="34">
      <c r="B34">
        <f>IF(A34="","",TEXT(A34,"yyyy-mm"))</f>
        <v/>
      </c>
    </row>
    <row r="35">
      <c r="B35">
        <f>IF(A35="","",TEXT(A35,"yyyy-mm"))</f>
        <v/>
      </c>
    </row>
    <row r="36">
      <c r="B36">
        <f>IF(A36="","",TEXT(A36,"yyyy-mm"))</f>
        <v/>
      </c>
    </row>
    <row r="37">
      <c r="B37">
        <f>IF(A37="","",TEXT(A37,"yyyy-mm"))</f>
        <v/>
      </c>
    </row>
    <row r="38">
      <c r="B38">
        <f>IF(A38="","",TEXT(A38,"yyyy-mm"))</f>
        <v/>
      </c>
    </row>
    <row r="39">
      <c r="B39">
        <f>IF(A39="","",TEXT(A39,"yyyy-mm"))</f>
        <v/>
      </c>
    </row>
    <row r="40">
      <c r="B40">
        <f>IF(A40="","",TEXT(A40,"yyyy-mm"))</f>
        <v/>
      </c>
    </row>
    <row r="41">
      <c r="B41">
        <f>IF(A41="","",TEXT(A41,"yyyy-mm"))</f>
        <v/>
      </c>
    </row>
    <row r="42">
      <c r="B42">
        <f>IF(A42="","",TEXT(A42,"yyyy-mm"))</f>
        <v/>
      </c>
    </row>
    <row r="43">
      <c r="B43">
        <f>IF(A43="","",TEXT(A43,"yyyy-mm"))</f>
        <v/>
      </c>
    </row>
    <row r="44">
      <c r="B44">
        <f>IF(A44="","",TEXT(A44,"yyyy-mm"))</f>
        <v/>
      </c>
    </row>
    <row r="45">
      <c r="B45">
        <f>IF(A45="","",TEXT(A45,"yyyy-mm"))</f>
        <v/>
      </c>
    </row>
    <row r="46">
      <c r="B46">
        <f>IF(A46="","",TEXT(A46,"yyyy-mm"))</f>
        <v/>
      </c>
    </row>
    <row r="47">
      <c r="B47">
        <f>IF(A47="","",TEXT(A47,"yyyy-mm"))</f>
        <v/>
      </c>
    </row>
    <row r="48">
      <c r="B48">
        <f>IF(A48="","",TEXT(A48,"yyyy-mm"))</f>
        <v/>
      </c>
    </row>
    <row r="49">
      <c r="B49">
        <f>IF(A49="","",TEXT(A49,"yyyy-mm"))</f>
        <v/>
      </c>
    </row>
    <row r="50">
      <c r="B50">
        <f>IF(A50="","",TEXT(A50,"yyyy-mm"))</f>
        <v/>
      </c>
    </row>
    <row r="51">
      <c r="B51">
        <f>IF(A51="","",TEXT(A51,"yyyy-mm"))</f>
        <v/>
      </c>
    </row>
    <row r="52">
      <c r="B52">
        <f>IF(A52="","",TEXT(A52,"yyyy-mm"))</f>
        <v/>
      </c>
    </row>
    <row r="53">
      <c r="B53">
        <f>IF(A53="","",TEXT(A53,"yyyy-mm"))</f>
        <v/>
      </c>
    </row>
    <row r="54">
      <c r="B54">
        <f>IF(A54="","",TEXT(A54,"yyyy-mm"))</f>
        <v/>
      </c>
    </row>
    <row r="55">
      <c r="B55">
        <f>IF(A55="","",TEXT(A55,"yyyy-mm"))</f>
        <v/>
      </c>
    </row>
    <row r="56">
      <c r="B56">
        <f>IF(A56="","",TEXT(A56,"yyyy-mm"))</f>
        <v/>
      </c>
    </row>
    <row r="57">
      <c r="B57">
        <f>IF(A57="","",TEXT(A57,"yyyy-mm"))</f>
        <v/>
      </c>
    </row>
    <row r="58">
      <c r="B58">
        <f>IF(A58="","",TEXT(A58,"yyyy-mm"))</f>
        <v/>
      </c>
    </row>
    <row r="59">
      <c r="B59">
        <f>IF(A59="","",TEXT(A59,"yyyy-mm"))</f>
        <v/>
      </c>
    </row>
    <row r="60">
      <c r="B60">
        <f>IF(A60="","",TEXT(A60,"yyyy-mm"))</f>
        <v/>
      </c>
    </row>
    <row r="61">
      <c r="B61">
        <f>IF(A61="","",TEXT(A61,"yyyy-mm"))</f>
        <v/>
      </c>
    </row>
    <row r="62">
      <c r="B62">
        <f>IF(A62="","",TEXT(A62,"yyyy-mm"))</f>
        <v/>
      </c>
    </row>
    <row r="63">
      <c r="B63">
        <f>IF(A63="","",TEXT(A63,"yyyy-mm"))</f>
        <v/>
      </c>
    </row>
    <row r="64">
      <c r="B64">
        <f>IF(A64="","",TEXT(A64,"yyyy-mm"))</f>
        <v/>
      </c>
    </row>
    <row r="65">
      <c r="B65">
        <f>IF(A65="","",TEXT(A65,"yyyy-mm"))</f>
        <v/>
      </c>
    </row>
    <row r="66">
      <c r="B66">
        <f>IF(A66="","",TEXT(A66,"yyyy-mm"))</f>
        <v/>
      </c>
    </row>
    <row r="67">
      <c r="B67">
        <f>IF(A67="","",TEXT(A67,"yyyy-mm"))</f>
        <v/>
      </c>
    </row>
    <row r="68">
      <c r="B68">
        <f>IF(A68="","",TEXT(A68,"yyyy-mm"))</f>
        <v/>
      </c>
    </row>
    <row r="69">
      <c r="B69">
        <f>IF(A69="","",TEXT(A69,"yyyy-mm"))</f>
        <v/>
      </c>
    </row>
    <row r="70">
      <c r="B70">
        <f>IF(A70="","",TEXT(A70,"yyyy-mm"))</f>
        <v/>
      </c>
    </row>
    <row r="71">
      <c r="B71">
        <f>IF(A71="","",TEXT(A71,"yyyy-mm"))</f>
        <v/>
      </c>
    </row>
    <row r="72">
      <c r="B72">
        <f>IF(A72="","",TEXT(A72,"yyyy-mm"))</f>
        <v/>
      </c>
    </row>
    <row r="73">
      <c r="B73">
        <f>IF(A73="","",TEXT(A73,"yyyy-mm"))</f>
        <v/>
      </c>
    </row>
    <row r="74">
      <c r="B74">
        <f>IF(A74="","",TEXT(A74,"yyyy-mm"))</f>
        <v/>
      </c>
    </row>
    <row r="75">
      <c r="B75">
        <f>IF(A75="","",TEXT(A75,"yyyy-mm"))</f>
        <v/>
      </c>
    </row>
    <row r="76">
      <c r="B76">
        <f>IF(A76="","",TEXT(A76,"yyyy-mm"))</f>
        <v/>
      </c>
    </row>
    <row r="77">
      <c r="B77">
        <f>IF(A77="","",TEXT(A77,"yyyy-mm"))</f>
        <v/>
      </c>
    </row>
    <row r="78">
      <c r="B78">
        <f>IF(A78="","",TEXT(A78,"yyyy-mm"))</f>
        <v/>
      </c>
    </row>
    <row r="79">
      <c r="B79">
        <f>IF(A79="","",TEXT(A79,"yyyy-mm"))</f>
        <v/>
      </c>
    </row>
    <row r="80">
      <c r="B80">
        <f>IF(A80="","",TEXT(A80,"yyyy-mm"))</f>
        <v/>
      </c>
    </row>
    <row r="81">
      <c r="B81">
        <f>IF(A81="","",TEXT(A81,"yyyy-mm"))</f>
        <v/>
      </c>
    </row>
    <row r="82">
      <c r="B82">
        <f>IF(A82="","",TEXT(A82,"yyyy-mm"))</f>
        <v/>
      </c>
    </row>
    <row r="83">
      <c r="B83">
        <f>IF(A83="","",TEXT(A83,"yyyy-mm"))</f>
        <v/>
      </c>
    </row>
    <row r="84">
      <c r="B84">
        <f>IF(A84="","",TEXT(A84,"yyyy-mm"))</f>
        <v/>
      </c>
    </row>
    <row r="85">
      <c r="B85">
        <f>IF(A85="","",TEXT(A85,"yyyy-mm"))</f>
        <v/>
      </c>
    </row>
    <row r="86">
      <c r="B86">
        <f>IF(A86="","",TEXT(A86,"yyyy-mm"))</f>
        <v/>
      </c>
    </row>
    <row r="87">
      <c r="B87">
        <f>IF(A87="","",TEXT(A87,"yyyy-mm"))</f>
        <v/>
      </c>
    </row>
    <row r="88">
      <c r="B88">
        <f>IF(A88="","",TEXT(A88,"yyyy-mm"))</f>
        <v/>
      </c>
    </row>
    <row r="89">
      <c r="B89">
        <f>IF(A89="","",TEXT(A89,"yyyy-mm"))</f>
        <v/>
      </c>
    </row>
    <row r="90">
      <c r="B90">
        <f>IF(A90="","",TEXT(A90,"yyyy-mm"))</f>
        <v/>
      </c>
    </row>
    <row r="91">
      <c r="B91">
        <f>IF(A91="","",TEXT(A91,"yyyy-mm"))</f>
        <v/>
      </c>
    </row>
    <row r="92">
      <c r="B92">
        <f>IF(A92="","",TEXT(A92,"yyyy-mm"))</f>
        <v/>
      </c>
    </row>
    <row r="93">
      <c r="B93">
        <f>IF(A93="","",TEXT(A93,"yyyy-mm"))</f>
        <v/>
      </c>
    </row>
    <row r="94">
      <c r="B94">
        <f>IF(A94="","",TEXT(A94,"yyyy-mm"))</f>
        <v/>
      </c>
    </row>
    <row r="95">
      <c r="B95">
        <f>IF(A95="","",TEXT(A95,"yyyy-mm"))</f>
        <v/>
      </c>
    </row>
    <row r="96">
      <c r="B96">
        <f>IF(A96="","",TEXT(A96,"yyyy-mm"))</f>
        <v/>
      </c>
    </row>
    <row r="97">
      <c r="B97">
        <f>IF(A97="","",TEXT(A97,"yyyy-mm"))</f>
        <v/>
      </c>
    </row>
    <row r="98">
      <c r="B98">
        <f>IF(A98="","",TEXT(A98,"yyyy-mm"))</f>
        <v/>
      </c>
    </row>
    <row r="99">
      <c r="B99">
        <f>IF(A99="","",TEXT(A99,"yyyy-mm"))</f>
        <v/>
      </c>
    </row>
    <row r="100">
      <c r="B100">
        <f>IF(A100="","",TEXT(A100,"yyyy-mm"))</f>
        <v/>
      </c>
    </row>
    <row r="101">
      <c r="B101">
        <f>IF(A101="","",TEXT(A101,"yyyy-mm"))</f>
        <v/>
      </c>
    </row>
    <row r="102">
      <c r="B102">
        <f>IF(A102="","",TEXT(A102,"yyyy-mm"))</f>
        <v/>
      </c>
    </row>
    <row r="103">
      <c r="B103">
        <f>IF(A103="","",TEXT(A103,"yyyy-mm"))</f>
        <v/>
      </c>
    </row>
    <row r="104">
      <c r="B104">
        <f>IF(A104="","",TEXT(A104,"yyyy-mm"))</f>
        <v/>
      </c>
    </row>
    <row r="105">
      <c r="B105">
        <f>IF(A105="","",TEXT(A105,"yyyy-mm"))</f>
        <v/>
      </c>
    </row>
    <row r="106">
      <c r="B106">
        <f>IF(A106="","",TEXT(A106,"yyyy-mm"))</f>
        <v/>
      </c>
    </row>
    <row r="107">
      <c r="B107">
        <f>IF(A107="","",TEXT(A107,"yyyy-mm"))</f>
        <v/>
      </c>
    </row>
    <row r="108">
      <c r="B108">
        <f>IF(A108="","",TEXT(A108,"yyyy-mm"))</f>
        <v/>
      </c>
    </row>
    <row r="109">
      <c r="B109">
        <f>IF(A109="","",TEXT(A109,"yyyy-mm"))</f>
        <v/>
      </c>
    </row>
    <row r="110">
      <c r="B110">
        <f>IF(A110="","",TEXT(A110,"yyyy-mm"))</f>
        <v/>
      </c>
    </row>
    <row r="111">
      <c r="B111">
        <f>IF(A111="","",TEXT(A111,"yyyy-mm"))</f>
        <v/>
      </c>
    </row>
    <row r="112">
      <c r="B112">
        <f>IF(A112="","",TEXT(A112,"yyyy-mm"))</f>
        <v/>
      </c>
    </row>
    <row r="113">
      <c r="B113">
        <f>IF(A113="","",TEXT(A113,"yyyy-mm"))</f>
        <v/>
      </c>
    </row>
    <row r="114">
      <c r="B114">
        <f>IF(A114="","",TEXT(A114,"yyyy-mm"))</f>
        <v/>
      </c>
    </row>
    <row r="115">
      <c r="B115">
        <f>IF(A115="","",TEXT(A115,"yyyy-mm"))</f>
        <v/>
      </c>
    </row>
    <row r="116">
      <c r="B116">
        <f>IF(A116="","",TEXT(A116,"yyyy-mm"))</f>
        <v/>
      </c>
    </row>
    <row r="117">
      <c r="B117">
        <f>IF(A117="","",TEXT(A117,"yyyy-mm"))</f>
        <v/>
      </c>
    </row>
    <row r="118">
      <c r="B118">
        <f>IF(A118="","",TEXT(A118,"yyyy-mm"))</f>
        <v/>
      </c>
    </row>
    <row r="119">
      <c r="B119">
        <f>IF(A119="","",TEXT(A119,"yyyy-mm"))</f>
        <v/>
      </c>
    </row>
    <row r="120">
      <c r="B120">
        <f>IF(A120="","",TEXT(A120,"yyyy-mm"))</f>
        <v/>
      </c>
    </row>
    <row r="121">
      <c r="B121">
        <f>IF(A121="","",TEXT(A121,"yyyy-mm"))</f>
        <v/>
      </c>
    </row>
    <row r="122">
      <c r="B122">
        <f>IF(A122="","",TEXT(A122,"yyyy-mm"))</f>
        <v/>
      </c>
    </row>
    <row r="123">
      <c r="B123">
        <f>IF(A123="","",TEXT(A123,"yyyy-mm"))</f>
        <v/>
      </c>
    </row>
    <row r="124">
      <c r="B124">
        <f>IF(A124="","",TEXT(A124,"yyyy-mm"))</f>
        <v/>
      </c>
    </row>
    <row r="125">
      <c r="B125">
        <f>IF(A125="","",TEXT(A125,"yyyy-mm"))</f>
        <v/>
      </c>
    </row>
    <row r="126">
      <c r="B126">
        <f>IF(A126="","",TEXT(A126,"yyyy-mm"))</f>
        <v/>
      </c>
    </row>
    <row r="127">
      <c r="B127">
        <f>IF(A127="","",TEXT(A127,"yyyy-mm"))</f>
        <v/>
      </c>
    </row>
    <row r="128">
      <c r="B128">
        <f>IF(A128="","",TEXT(A128,"yyyy-mm"))</f>
        <v/>
      </c>
    </row>
    <row r="129">
      <c r="B129">
        <f>IF(A129="","",TEXT(A129,"yyyy-mm"))</f>
        <v/>
      </c>
    </row>
    <row r="130">
      <c r="B130">
        <f>IF(A130="","",TEXT(A130,"yyyy-mm"))</f>
        <v/>
      </c>
    </row>
    <row r="131">
      <c r="B131">
        <f>IF(A131="","",TEXT(A131,"yyyy-mm"))</f>
        <v/>
      </c>
    </row>
    <row r="132">
      <c r="B132">
        <f>IF(A132="","",TEXT(A132,"yyyy-mm"))</f>
        <v/>
      </c>
    </row>
    <row r="133">
      <c r="B133">
        <f>IF(A133="","",TEXT(A133,"yyyy-mm"))</f>
        <v/>
      </c>
    </row>
    <row r="134">
      <c r="B134">
        <f>IF(A134="","",TEXT(A134,"yyyy-mm"))</f>
        <v/>
      </c>
    </row>
    <row r="135">
      <c r="B135">
        <f>IF(A135="","",TEXT(A135,"yyyy-mm"))</f>
        <v/>
      </c>
    </row>
    <row r="136">
      <c r="B136">
        <f>IF(A136="","",TEXT(A136,"yyyy-mm"))</f>
        <v/>
      </c>
    </row>
    <row r="137">
      <c r="B137">
        <f>IF(A137="","",TEXT(A137,"yyyy-mm"))</f>
        <v/>
      </c>
    </row>
    <row r="138">
      <c r="B138">
        <f>IF(A138="","",TEXT(A138,"yyyy-mm"))</f>
        <v/>
      </c>
    </row>
    <row r="139">
      <c r="B139">
        <f>IF(A139="","",TEXT(A139,"yyyy-mm"))</f>
        <v/>
      </c>
    </row>
    <row r="140">
      <c r="B140">
        <f>IF(A140="","",TEXT(A140,"yyyy-mm"))</f>
        <v/>
      </c>
    </row>
    <row r="141">
      <c r="B141">
        <f>IF(A141="","",TEXT(A141,"yyyy-mm"))</f>
        <v/>
      </c>
    </row>
    <row r="142">
      <c r="B142">
        <f>IF(A142="","",TEXT(A142,"yyyy-mm"))</f>
        <v/>
      </c>
    </row>
    <row r="143">
      <c r="B143">
        <f>IF(A143="","",TEXT(A143,"yyyy-mm"))</f>
        <v/>
      </c>
    </row>
    <row r="144">
      <c r="B144">
        <f>IF(A144="","",TEXT(A144,"yyyy-mm"))</f>
        <v/>
      </c>
    </row>
    <row r="145">
      <c r="B145">
        <f>IF(A145="","",TEXT(A145,"yyyy-mm"))</f>
        <v/>
      </c>
    </row>
    <row r="146">
      <c r="B146">
        <f>IF(A146="","",TEXT(A146,"yyyy-mm"))</f>
        <v/>
      </c>
    </row>
    <row r="147">
      <c r="B147">
        <f>IF(A147="","",TEXT(A147,"yyyy-mm"))</f>
        <v/>
      </c>
    </row>
    <row r="148">
      <c r="B148">
        <f>IF(A148="","",TEXT(A148,"yyyy-mm"))</f>
        <v/>
      </c>
    </row>
    <row r="149">
      <c r="B149">
        <f>IF(A149="","",TEXT(A149,"yyyy-mm"))</f>
        <v/>
      </c>
    </row>
    <row r="150">
      <c r="B150">
        <f>IF(A150="","",TEXT(A150,"yyyy-mm"))</f>
        <v/>
      </c>
    </row>
    <row r="151">
      <c r="B151">
        <f>IF(A151="","",TEXT(A151,"yyyy-mm"))</f>
        <v/>
      </c>
    </row>
    <row r="152">
      <c r="B152">
        <f>IF(A152="","",TEXT(A152,"yyyy-mm"))</f>
        <v/>
      </c>
    </row>
    <row r="153">
      <c r="B153">
        <f>IF(A153="","",TEXT(A153,"yyyy-mm"))</f>
        <v/>
      </c>
    </row>
    <row r="154">
      <c r="B154">
        <f>IF(A154="","",TEXT(A154,"yyyy-mm"))</f>
        <v/>
      </c>
    </row>
    <row r="155">
      <c r="B155">
        <f>IF(A155="","",TEXT(A155,"yyyy-mm"))</f>
        <v/>
      </c>
    </row>
    <row r="156">
      <c r="B156">
        <f>IF(A156="","",TEXT(A156,"yyyy-mm"))</f>
        <v/>
      </c>
    </row>
    <row r="157">
      <c r="B157">
        <f>IF(A157="","",TEXT(A157,"yyyy-mm"))</f>
        <v/>
      </c>
    </row>
    <row r="158">
      <c r="B158">
        <f>IF(A158="","",TEXT(A158,"yyyy-mm"))</f>
        <v/>
      </c>
    </row>
    <row r="159">
      <c r="B159">
        <f>IF(A159="","",TEXT(A159,"yyyy-mm"))</f>
        <v/>
      </c>
    </row>
    <row r="160">
      <c r="B160">
        <f>IF(A160="","",TEXT(A160,"yyyy-mm"))</f>
        <v/>
      </c>
    </row>
    <row r="161">
      <c r="B161">
        <f>IF(A161="","",TEXT(A161,"yyyy-mm"))</f>
        <v/>
      </c>
    </row>
    <row r="162">
      <c r="B162">
        <f>IF(A162="","",TEXT(A162,"yyyy-mm"))</f>
        <v/>
      </c>
    </row>
    <row r="163">
      <c r="B163">
        <f>IF(A163="","",TEXT(A163,"yyyy-mm"))</f>
        <v/>
      </c>
    </row>
    <row r="164">
      <c r="B164">
        <f>IF(A164="","",TEXT(A164,"yyyy-mm"))</f>
        <v/>
      </c>
    </row>
    <row r="165">
      <c r="B165">
        <f>IF(A165="","",TEXT(A165,"yyyy-mm"))</f>
        <v/>
      </c>
    </row>
    <row r="166">
      <c r="B166">
        <f>IF(A166="","",TEXT(A166,"yyyy-mm"))</f>
        <v/>
      </c>
    </row>
    <row r="167">
      <c r="B167">
        <f>IF(A167="","",TEXT(A167,"yyyy-mm"))</f>
        <v/>
      </c>
    </row>
    <row r="168">
      <c r="B168">
        <f>IF(A168="","",TEXT(A168,"yyyy-mm"))</f>
        <v/>
      </c>
    </row>
    <row r="169">
      <c r="B169">
        <f>IF(A169="","",TEXT(A169,"yyyy-mm"))</f>
        <v/>
      </c>
    </row>
    <row r="170">
      <c r="B170">
        <f>IF(A170="","",TEXT(A170,"yyyy-mm"))</f>
        <v/>
      </c>
    </row>
    <row r="171">
      <c r="B171">
        <f>IF(A171="","",TEXT(A171,"yyyy-mm"))</f>
        <v/>
      </c>
    </row>
    <row r="172">
      <c r="B172">
        <f>IF(A172="","",TEXT(A172,"yyyy-mm"))</f>
        <v/>
      </c>
    </row>
    <row r="173">
      <c r="B173">
        <f>IF(A173="","",TEXT(A173,"yyyy-mm"))</f>
        <v/>
      </c>
    </row>
    <row r="174">
      <c r="B174">
        <f>IF(A174="","",TEXT(A174,"yyyy-mm"))</f>
        <v/>
      </c>
    </row>
    <row r="175">
      <c r="B175">
        <f>IF(A175="","",TEXT(A175,"yyyy-mm"))</f>
        <v/>
      </c>
    </row>
    <row r="176">
      <c r="B176">
        <f>IF(A176="","",TEXT(A176,"yyyy-mm"))</f>
        <v/>
      </c>
    </row>
    <row r="177">
      <c r="B177">
        <f>IF(A177="","",TEXT(A177,"yyyy-mm"))</f>
        <v/>
      </c>
    </row>
    <row r="178">
      <c r="B178">
        <f>IF(A178="","",TEXT(A178,"yyyy-mm"))</f>
        <v/>
      </c>
    </row>
    <row r="179">
      <c r="B179">
        <f>IF(A179="","",TEXT(A179,"yyyy-mm"))</f>
        <v/>
      </c>
    </row>
    <row r="180">
      <c r="B180">
        <f>IF(A180="","",TEXT(A180,"yyyy-mm"))</f>
        <v/>
      </c>
    </row>
    <row r="181">
      <c r="B181">
        <f>IF(A181="","",TEXT(A181,"yyyy-mm"))</f>
        <v/>
      </c>
    </row>
    <row r="182">
      <c r="B182">
        <f>IF(A182="","",TEXT(A182,"yyyy-mm"))</f>
        <v/>
      </c>
    </row>
    <row r="183">
      <c r="B183">
        <f>IF(A183="","",TEXT(A183,"yyyy-mm"))</f>
        <v/>
      </c>
    </row>
    <row r="184">
      <c r="B184">
        <f>IF(A184="","",TEXT(A184,"yyyy-mm"))</f>
        <v/>
      </c>
    </row>
    <row r="185">
      <c r="B185">
        <f>IF(A185="","",TEXT(A185,"yyyy-mm"))</f>
        <v/>
      </c>
    </row>
    <row r="186">
      <c r="B186">
        <f>IF(A186="","",TEXT(A186,"yyyy-mm"))</f>
        <v/>
      </c>
    </row>
    <row r="187">
      <c r="B187">
        <f>IF(A187="","",TEXT(A187,"yyyy-mm"))</f>
        <v/>
      </c>
    </row>
    <row r="188">
      <c r="B188">
        <f>IF(A188="","",TEXT(A188,"yyyy-mm"))</f>
        <v/>
      </c>
    </row>
    <row r="189">
      <c r="B189">
        <f>IF(A189="","",TEXT(A189,"yyyy-mm"))</f>
        <v/>
      </c>
    </row>
    <row r="190">
      <c r="B190">
        <f>IF(A190="","",TEXT(A190,"yyyy-mm"))</f>
        <v/>
      </c>
    </row>
    <row r="191">
      <c r="B191">
        <f>IF(A191="","",TEXT(A191,"yyyy-mm"))</f>
        <v/>
      </c>
    </row>
    <row r="192">
      <c r="B192">
        <f>IF(A192="","",TEXT(A192,"yyyy-mm"))</f>
        <v/>
      </c>
    </row>
    <row r="193">
      <c r="B193">
        <f>IF(A193="","",TEXT(A193,"yyyy-mm"))</f>
        <v/>
      </c>
    </row>
    <row r="194">
      <c r="B194">
        <f>IF(A194="","",TEXT(A194,"yyyy-mm"))</f>
        <v/>
      </c>
    </row>
    <row r="195">
      <c r="B195">
        <f>IF(A195="","",TEXT(A195,"yyyy-mm"))</f>
        <v/>
      </c>
    </row>
    <row r="196">
      <c r="B196">
        <f>IF(A196="","",TEXT(A196,"yyyy-mm"))</f>
        <v/>
      </c>
    </row>
    <row r="197">
      <c r="B197">
        <f>IF(A197="","",TEXT(A197,"yyyy-mm"))</f>
        <v/>
      </c>
    </row>
    <row r="198">
      <c r="B198">
        <f>IF(A198="","",TEXT(A198,"yyyy-mm"))</f>
        <v/>
      </c>
    </row>
    <row r="199">
      <c r="B199">
        <f>IF(A199="","",TEXT(A199,"yyyy-mm"))</f>
        <v/>
      </c>
    </row>
    <row r="200">
      <c r="B200">
        <f>IF(A200="","",TEXT(A200,"yyyy-mm"))</f>
        <v/>
      </c>
    </row>
    <row r="201">
      <c r="B201">
        <f>IF(A201="","",TEXT(A201,"yyyy-mm"))</f>
        <v/>
      </c>
    </row>
    <row r="202">
      <c r="B202">
        <f>IF(A202="","",TEXT(A202,"yyyy-mm"))</f>
        <v/>
      </c>
    </row>
    <row r="203">
      <c r="B203">
        <f>IF(A203="","",TEXT(A203,"yyyy-mm"))</f>
        <v/>
      </c>
    </row>
    <row r="204">
      <c r="B204">
        <f>IF(A204="","",TEXT(A204,"yyyy-mm"))</f>
        <v/>
      </c>
    </row>
    <row r="205">
      <c r="B205">
        <f>IF(A205="","",TEXT(A205,"yyyy-mm"))</f>
        <v/>
      </c>
    </row>
    <row r="206">
      <c r="B206">
        <f>IF(A206="","",TEXT(A206,"yyyy-mm"))</f>
        <v/>
      </c>
    </row>
    <row r="207">
      <c r="B207">
        <f>IF(A207="","",TEXT(A207,"yyyy-mm"))</f>
        <v/>
      </c>
    </row>
    <row r="208">
      <c r="B208">
        <f>IF(A208="","",TEXT(A208,"yyyy-mm"))</f>
        <v/>
      </c>
    </row>
    <row r="209">
      <c r="B209">
        <f>IF(A209="","",TEXT(A209,"yyyy-mm"))</f>
        <v/>
      </c>
    </row>
    <row r="210">
      <c r="B210">
        <f>IF(A210="","",TEXT(A210,"yyyy-mm"))</f>
        <v/>
      </c>
    </row>
    <row r="211">
      <c r="B211">
        <f>IF(A211="","",TEXT(A211,"yyyy-mm"))</f>
        <v/>
      </c>
    </row>
    <row r="212">
      <c r="B212">
        <f>IF(A212="","",TEXT(A212,"yyyy-mm"))</f>
        <v/>
      </c>
    </row>
    <row r="213">
      <c r="B213">
        <f>IF(A213="","",TEXT(A213,"yyyy-mm"))</f>
        <v/>
      </c>
    </row>
    <row r="214">
      <c r="B214">
        <f>IF(A214="","",TEXT(A214,"yyyy-mm"))</f>
        <v/>
      </c>
    </row>
    <row r="215">
      <c r="B215">
        <f>IF(A215="","",TEXT(A215,"yyyy-mm"))</f>
        <v/>
      </c>
    </row>
    <row r="216">
      <c r="B216">
        <f>IF(A216="","",TEXT(A216,"yyyy-mm"))</f>
        <v/>
      </c>
    </row>
    <row r="217">
      <c r="B217">
        <f>IF(A217="","",TEXT(A217,"yyyy-mm"))</f>
        <v/>
      </c>
    </row>
    <row r="218">
      <c r="B218">
        <f>IF(A218="","",TEXT(A218,"yyyy-mm"))</f>
        <v/>
      </c>
    </row>
    <row r="219">
      <c r="B219">
        <f>IF(A219="","",TEXT(A219,"yyyy-mm"))</f>
        <v/>
      </c>
    </row>
    <row r="220">
      <c r="B220">
        <f>IF(A220="","",TEXT(A220,"yyyy-mm"))</f>
        <v/>
      </c>
    </row>
    <row r="221">
      <c r="B221">
        <f>IF(A221="","",TEXT(A221,"yyyy-mm"))</f>
        <v/>
      </c>
    </row>
    <row r="222">
      <c r="B222">
        <f>IF(A222="","",TEXT(A222,"yyyy-mm"))</f>
        <v/>
      </c>
    </row>
    <row r="223">
      <c r="B223">
        <f>IF(A223="","",TEXT(A223,"yyyy-mm"))</f>
        <v/>
      </c>
    </row>
    <row r="224">
      <c r="B224">
        <f>IF(A224="","",TEXT(A224,"yyyy-mm"))</f>
        <v/>
      </c>
    </row>
    <row r="225">
      <c r="B225">
        <f>IF(A225="","",TEXT(A225,"yyyy-mm"))</f>
        <v/>
      </c>
    </row>
    <row r="226">
      <c r="B226">
        <f>IF(A226="","",TEXT(A226,"yyyy-mm"))</f>
        <v/>
      </c>
    </row>
    <row r="227">
      <c r="B227">
        <f>IF(A227="","",TEXT(A227,"yyyy-mm"))</f>
        <v/>
      </c>
    </row>
    <row r="228">
      <c r="B228">
        <f>IF(A228="","",TEXT(A228,"yyyy-mm"))</f>
        <v/>
      </c>
    </row>
    <row r="229">
      <c r="B229">
        <f>IF(A229="","",TEXT(A229,"yyyy-mm"))</f>
        <v/>
      </c>
    </row>
    <row r="230">
      <c r="B230">
        <f>IF(A230="","",TEXT(A230,"yyyy-mm"))</f>
        <v/>
      </c>
    </row>
    <row r="231">
      <c r="B231">
        <f>IF(A231="","",TEXT(A231,"yyyy-mm"))</f>
        <v/>
      </c>
    </row>
    <row r="232">
      <c r="B232">
        <f>IF(A232="","",TEXT(A232,"yyyy-mm"))</f>
        <v/>
      </c>
    </row>
    <row r="233">
      <c r="B233">
        <f>IF(A233="","",TEXT(A233,"yyyy-mm"))</f>
        <v/>
      </c>
    </row>
    <row r="234">
      <c r="B234">
        <f>IF(A234="","",TEXT(A234,"yyyy-mm"))</f>
        <v/>
      </c>
    </row>
    <row r="235">
      <c r="B235">
        <f>IF(A235="","",TEXT(A235,"yyyy-mm"))</f>
        <v/>
      </c>
    </row>
    <row r="236">
      <c r="B236">
        <f>IF(A236="","",TEXT(A236,"yyyy-mm"))</f>
        <v/>
      </c>
    </row>
    <row r="237">
      <c r="B237">
        <f>IF(A237="","",TEXT(A237,"yyyy-mm"))</f>
        <v/>
      </c>
    </row>
    <row r="238">
      <c r="B238">
        <f>IF(A238="","",TEXT(A238,"yyyy-mm"))</f>
        <v/>
      </c>
    </row>
    <row r="239">
      <c r="B239">
        <f>IF(A239="","",TEXT(A239,"yyyy-mm"))</f>
        <v/>
      </c>
    </row>
    <row r="240">
      <c r="B240">
        <f>IF(A240="","",TEXT(A240,"yyyy-mm"))</f>
        <v/>
      </c>
    </row>
    <row r="241">
      <c r="B241">
        <f>IF(A241="","",TEXT(A241,"yyyy-mm"))</f>
        <v/>
      </c>
    </row>
    <row r="242">
      <c r="B242">
        <f>IF(A242="","",TEXT(A242,"yyyy-mm"))</f>
        <v/>
      </c>
    </row>
    <row r="243">
      <c r="B243">
        <f>IF(A243="","",TEXT(A243,"yyyy-mm"))</f>
        <v/>
      </c>
    </row>
    <row r="244">
      <c r="B244">
        <f>IF(A244="","",TEXT(A244,"yyyy-mm"))</f>
        <v/>
      </c>
    </row>
    <row r="245">
      <c r="B245">
        <f>IF(A245="","",TEXT(A245,"yyyy-mm"))</f>
        <v/>
      </c>
    </row>
    <row r="246">
      <c r="B246">
        <f>IF(A246="","",TEXT(A246,"yyyy-mm"))</f>
        <v/>
      </c>
    </row>
    <row r="247">
      <c r="B247">
        <f>IF(A247="","",TEXT(A247,"yyyy-mm"))</f>
        <v/>
      </c>
    </row>
    <row r="248">
      <c r="B248">
        <f>IF(A248="","",TEXT(A248,"yyyy-mm"))</f>
        <v/>
      </c>
    </row>
    <row r="249">
      <c r="B249">
        <f>IF(A249="","",TEXT(A249,"yyyy-mm"))</f>
        <v/>
      </c>
    </row>
    <row r="250">
      <c r="B250">
        <f>IF(A250="","",TEXT(A250,"yyyy-mm"))</f>
        <v/>
      </c>
    </row>
    <row r="251">
      <c r="B251">
        <f>IF(A251="","",TEXT(A251,"yyyy-mm"))</f>
        <v/>
      </c>
    </row>
    <row r="252">
      <c r="B252">
        <f>IF(A252="","",TEXT(A252,"yyyy-mm"))</f>
        <v/>
      </c>
    </row>
    <row r="253">
      <c r="B253">
        <f>IF(A253="","",TEXT(A253,"yyyy-mm"))</f>
        <v/>
      </c>
    </row>
    <row r="254">
      <c r="B254">
        <f>IF(A254="","",TEXT(A254,"yyyy-mm"))</f>
        <v/>
      </c>
    </row>
    <row r="255">
      <c r="B255">
        <f>IF(A255="","",TEXT(A255,"yyyy-mm"))</f>
        <v/>
      </c>
    </row>
    <row r="256">
      <c r="B256">
        <f>IF(A256="","",TEXT(A256,"yyyy-mm"))</f>
        <v/>
      </c>
    </row>
    <row r="257">
      <c r="B257">
        <f>IF(A257="","",TEXT(A257,"yyyy-mm"))</f>
        <v/>
      </c>
    </row>
    <row r="258">
      <c r="B258">
        <f>IF(A258="","",TEXT(A258,"yyyy-mm"))</f>
        <v/>
      </c>
    </row>
    <row r="259">
      <c r="B259">
        <f>IF(A259="","",TEXT(A259,"yyyy-mm"))</f>
        <v/>
      </c>
    </row>
    <row r="260">
      <c r="B260">
        <f>IF(A260="","",TEXT(A260,"yyyy-mm"))</f>
        <v/>
      </c>
    </row>
    <row r="261">
      <c r="B261">
        <f>IF(A261="","",TEXT(A261,"yyyy-mm"))</f>
        <v/>
      </c>
    </row>
    <row r="262">
      <c r="B262">
        <f>IF(A262="","",TEXT(A262,"yyyy-mm"))</f>
        <v/>
      </c>
    </row>
    <row r="263">
      <c r="B263">
        <f>IF(A263="","",TEXT(A263,"yyyy-mm"))</f>
        <v/>
      </c>
    </row>
    <row r="264">
      <c r="B264">
        <f>IF(A264="","",TEXT(A264,"yyyy-mm"))</f>
        <v/>
      </c>
    </row>
    <row r="265">
      <c r="B265">
        <f>IF(A265="","",TEXT(A265,"yyyy-mm"))</f>
        <v/>
      </c>
    </row>
    <row r="266">
      <c r="B266">
        <f>IF(A266="","",TEXT(A266,"yyyy-mm"))</f>
        <v/>
      </c>
    </row>
    <row r="267">
      <c r="B267">
        <f>IF(A267="","",TEXT(A267,"yyyy-mm"))</f>
        <v/>
      </c>
    </row>
    <row r="268">
      <c r="B268">
        <f>IF(A268="","",TEXT(A268,"yyyy-mm"))</f>
        <v/>
      </c>
    </row>
    <row r="269">
      <c r="B269">
        <f>IF(A269="","",TEXT(A269,"yyyy-mm"))</f>
        <v/>
      </c>
    </row>
    <row r="270">
      <c r="B270">
        <f>IF(A270="","",TEXT(A270,"yyyy-mm"))</f>
        <v/>
      </c>
    </row>
    <row r="271">
      <c r="B271">
        <f>IF(A271="","",TEXT(A271,"yyyy-mm"))</f>
        <v/>
      </c>
    </row>
    <row r="272">
      <c r="B272">
        <f>IF(A272="","",TEXT(A272,"yyyy-mm"))</f>
        <v/>
      </c>
    </row>
    <row r="273">
      <c r="B273">
        <f>IF(A273="","",TEXT(A273,"yyyy-mm"))</f>
        <v/>
      </c>
    </row>
    <row r="274">
      <c r="B274">
        <f>IF(A274="","",TEXT(A274,"yyyy-mm"))</f>
        <v/>
      </c>
    </row>
    <row r="275">
      <c r="B275">
        <f>IF(A275="","",TEXT(A275,"yyyy-mm"))</f>
        <v/>
      </c>
    </row>
    <row r="276">
      <c r="B276">
        <f>IF(A276="","",TEXT(A276,"yyyy-mm"))</f>
        <v/>
      </c>
    </row>
    <row r="277">
      <c r="B277">
        <f>IF(A277="","",TEXT(A277,"yyyy-mm"))</f>
        <v/>
      </c>
    </row>
    <row r="278">
      <c r="B278">
        <f>IF(A278="","",TEXT(A278,"yyyy-mm"))</f>
        <v/>
      </c>
    </row>
    <row r="279">
      <c r="B279">
        <f>IF(A279="","",TEXT(A279,"yyyy-mm"))</f>
        <v/>
      </c>
    </row>
    <row r="280">
      <c r="B280">
        <f>IF(A280="","",TEXT(A280,"yyyy-mm"))</f>
        <v/>
      </c>
    </row>
    <row r="281">
      <c r="B281">
        <f>IF(A281="","",TEXT(A281,"yyyy-mm"))</f>
        <v/>
      </c>
    </row>
    <row r="282">
      <c r="B282">
        <f>IF(A282="","",TEXT(A282,"yyyy-mm"))</f>
        <v/>
      </c>
    </row>
    <row r="283">
      <c r="B283">
        <f>IF(A283="","",TEXT(A283,"yyyy-mm"))</f>
        <v/>
      </c>
    </row>
    <row r="284">
      <c r="B284">
        <f>IF(A284="","",TEXT(A284,"yyyy-mm"))</f>
        <v/>
      </c>
    </row>
    <row r="285">
      <c r="B285">
        <f>IF(A285="","",TEXT(A285,"yyyy-mm"))</f>
        <v/>
      </c>
    </row>
    <row r="286">
      <c r="B286">
        <f>IF(A286="","",TEXT(A286,"yyyy-mm"))</f>
        <v/>
      </c>
    </row>
    <row r="287">
      <c r="B287">
        <f>IF(A287="","",TEXT(A287,"yyyy-mm"))</f>
        <v/>
      </c>
    </row>
    <row r="288">
      <c r="B288">
        <f>IF(A288="","",TEXT(A288,"yyyy-mm"))</f>
        <v/>
      </c>
    </row>
    <row r="289">
      <c r="B289">
        <f>IF(A289="","",TEXT(A289,"yyyy-mm"))</f>
        <v/>
      </c>
    </row>
    <row r="290">
      <c r="B290">
        <f>IF(A290="","",TEXT(A290,"yyyy-mm"))</f>
        <v/>
      </c>
    </row>
    <row r="291">
      <c r="B291">
        <f>IF(A291="","",TEXT(A291,"yyyy-mm"))</f>
        <v/>
      </c>
    </row>
    <row r="292">
      <c r="B292">
        <f>IF(A292="","",TEXT(A292,"yyyy-mm"))</f>
        <v/>
      </c>
    </row>
    <row r="293">
      <c r="B293">
        <f>IF(A293="","",TEXT(A293,"yyyy-mm"))</f>
        <v/>
      </c>
    </row>
    <row r="294">
      <c r="B294">
        <f>IF(A294="","",TEXT(A294,"yyyy-mm"))</f>
        <v/>
      </c>
    </row>
    <row r="295">
      <c r="B295">
        <f>IF(A295="","",TEXT(A295,"yyyy-mm"))</f>
        <v/>
      </c>
    </row>
    <row r="296">
      <c r="B296">
        <f>IF(A296="","",TEXT(A296,"yyyy-mm"))</f>
        <v/>
      </c>
    </row>
    <row r="297">
      <c r="B297">
        <f>IF(A297="","",TEXT(A297,"yyyy-mm"))</f>
        <v/>
      </c>
    </row>
    <row r="298">
      <c r="B298">
        <f>IF(A298="","",TEXT(A298,"yyyy-mm"))</f>
        <v/>
      </c>
    </row>
    <row r="299">
      <c r="B299">
        <f>IF(A299="","",TEXT(A299,"yyyy-mm"))</f>
        <v/>
      </c>
    </row>
    <row r="300">
      <c r="B300">
        <f>IF(A300="","",TEXT(A300,"yyyy-mm"))</f>
        <v/>
      </c>
    </row>
    <row r="301">
      <c r="B301">
        <f>IF(A301="","",TEXT(A301,"yyyy-mm"))</f>
        <v/>
      </c>
    </row>
    <row r="302">
      <c r="B302">
        <f>IF(A302="","",TEXT(A302,"yyyy-mm"))</f>
        <v/>
      </c>
    </row>
    <row r="303">
      <c r="B303">
        <f>IF(A303="","",TEXT(A303,"yyyy-mm"))</f>
        <v/>
      </c>
    </row>
    <row r="304">
      <c r="B304">
        <f>IF(A304="","",TEXT(A304,"yyyy-mm"))</f>
        <v/>
      </c>
    </row>
    <row r="305">
      <c r="B305">
        <f>IF(A305="","",TEXT(A305,"yyyy-mm"))</f>
        <v/>
      </c>
    </row>
    <row r="306">
      <c r="B306">
        <f>IF(A306="","",TEXT(A306,"yyyy-mm"))</f>
        <v/>
      </c>
    </row>
    <row r="307">
      <c r="B307">
        <f>IF(A307="","",TEXT(A307,"yyyy-mm"))</f>
        <v/>
      </c>
    </row>
    <row r="308">
      <c r="B308">
        <f>IF(A308="","",TEXT(A308,"yyyy-mm"))</f>
        <v/>
      </c>
    </row>
    <row r="309">
      <c r="B309">
        <f>IF(A309="","",TEXT(A309,"yyyy-mm"))</f>
        <v/>
      </c>
    </row>
    <row r="310">
      <c r="B310">
        <f>IF(A310="","",TEXT(A310,"yyyy-mm"))</f>
        <v/>
      </c>
    </row>
    <row r="311">
      <c r="B311">
        <f>IF(A311="","",TEXT(A311,"yyyy-mm"))</f>
        <v/>
      </c>
    </row>
    <row r="312">
      <c r="B312">
        <f>IF(A312="","",TEXT(A312,"yyyy-mm"))</f>
        <v/>
      </c>
    </row>
    <row r="313">
      <c r="B313">
        <f>IF(A313="","",TEXT(A313,"yyyy-mm"))</f>
        <v/>
      </c>
    </row>
    <row r="314">
      <c r="B314">
        <f>IF(A314="","",TEXT(A314,"yyyy-mm"))</f>
        <v/>
      </c>
    </row>
    <row r="315">
      <c r="B315">
        <f>IF(A315="","",TEXT(A315,"yyyy-mm"))</f>
        <v/>
      </c>
    </row>
    <row r="316">
      <c r="B316">
        <f>IF(A316="","",TEXT(A316,"yyyy-mm"))</f>
        <v/>
      </c>
    </row>
    <row r="317">
      <c r="B317">
        <f>IF(A317="","",TEXT(A317,"yyyy-mm"))</f>
        <v/>
      </c>
    </row>
    <row r="318">
      <c r="B318">
        <f>IF(A318="","",TEXT(A318,"yyyy-mm"))</f>
        <v/>
      </c>
    </row>
    <row r="319">
      <c r="B319">
        <f>IF(A319="","",TEXT(A319,"yyyy-mm"))</f>
        <v/>
      </c>
    </row>
    <row r="320">
      <c r="B320">
        <f>IF(A320="","",TEXT(A320,"yyyy-mm"))</f>
        <v/>
      </c>
    </row>
    <row r="321">
      <c r="B321">
        <f>IF(A321="","",TEXT(A321,"yyyy-mm"))</f>
        <v/>
      </c>
    </row>
    <row r="322">
      <c r="B322">
        <f>IF(A322="","",TEXT(A322,"yyyy-mm"))</f>
        <v/>
      </c>
    </row>
    <row r="323">
      <c r="B323">
        <f>IF(A323="","",TEXT(A323,"yyyy-mm"))</f>
        <v/>
      </c>
    </row>
    <row r="324">
      <c r="B324">
        <f>IF(A324="","",TEXT(A324,"yyyy-mm"))</f>
        <v/>
      </c>
    </row>
    <row r="325">
      <c r="B325">
        <f>IF(A325="","",TEXT(A325,"yyyy-mm"))</f>
        <v/>
      </c>
    </row>
    <row r="326">
      <c r="B326">
        <f>IF(A326="","",TEXT(A326,"yyyy-mm"))</f>
        <v/>
      </c>
    </row>
    <row r="327">
      <c r="B327">
        <f>IF(A327="","",TEXT(A327,"yyyy-mm"))</f>
        <v/>
      </c>
    </row>
    <row r="328">
      <c r="B328">
        <f>IF(A328="","",TEXT(A328,"yyyy-mm"))</f>
        <v/>
      </c>
    </row>
    <row r="329">
      <c r="B329">
        <f>IF(A329="","",TEXT(A329,"yyyy-mm"))</f>
        <v/>
      </c>
    </row>
    <row r="330">
      <c r="B330">
        <f>IF(A330="","",TEXT(A330,"yyyy-mm"))</f>
        <v/>
      </c>
    </row>
    <row r="331">
      <c r="B331">
        <f>IF(A331="","",TEXT(A331,"yyyy-mm"))</f>
        <v/>
      </c>
    </row>
    <row r="332">
      <c r="B332">
        <f>IF(A332="","",TEXT(A332,"yyyy-mm"))</f>
        <v/>
      </c>
    </row>
    <row r="333">
      <c r="B333">
        <f>IF(A333="","",TEXT(A333,"yyyy-mm"))</f>
        <v/>
      </c>
    </row>
    <row r="334">
      <c r="B334">
        <f>IF(A334="","",TEXT(A334,"yyyy-mm"))</f>
        <v/>
      </c>
    </row>
    <row r="335">
      <c r="B335">
        <f>IF(A335="","",TEXT(A335,"yyyy-mm"))</f>
        <v/>
      </c>
    </row>
    <row r="336">
      <c r="B336">
        <f>IF(A336="","",TEXT(A336,"yyyy-mm"))</f>
        <v/>
      </c>
    </row>
    <row r="337">
      <c r="B337">
        <f>IF(A337="","",TEXT(A337,"yyyy-mm"))</f>
        <v/>
      </c>
    </row>
    <row r="338">
      <c r="B338">
        <f>IF(A338="","",TEXT(A338,"yyyy-mm"))</f>
        <v/>
      </c>
    </row>
    <row r="339">
      <c r="B339">
        <f>IF(A339="","",TEXT(A339,"yyyy-mm"))</f>
        <v/>
      </c>
    </row>
    <row r="340">
      <c r="B340">
        <f>IF(A340="","",TEXT(A340,"yyyy-mm"))</f>
        <v/>
      </c>
    </row>
    <row r="341">
      <c r="B341">
        <f>IF(A341="","",TEXT(A341,"yyyy-mm"))</f>
        <v/>
      </c>
    </row>
    <row r="342">
      <c r="B342">
        <f>IF(A342="","",TEXT(A342,"yyyy-mm"))</f>
        <v/>
      </c>
    </row>
    <row r="343">
      <c r="B343">
        <f>IF(A343="","",TEXT(A343,"yyyy-mm"))</f>
        <v/>
      </c>
    </row>
    <row r="344">
      <c r="B344">
        <f>IF(A344="","",TEXT(A344,"yyyy-mm"))</f>
        <v/>
      </c>
    </row>
    <row r="345">
      <c r="B345">
        <f>IF(A345="","",TEXT(A345,"yyyy-mm"))</f>
        <v/>
      </c>
    </row>
    <row r="346">
      <c r="B346">
        <f>IF(A346="","",TEXT(A346,"yyyy-mm"))</f>
        <v/>
      </c>
    </row>
    <row r="347">
      <c r="B347">
        <f>IF(A347="","",TEXT(A347,"yyyy-mm"))</f>
        <v/>
      </c>
    </row>
    <row r="348">
      <c r="B348">
        <f>IF(A348="","",TEXT(A348,"yyyy-mm"))</f>
        <v/>
      </c>
    </row>
    <row r="349">
      <c r="B349">
        <f>IF(A349="","",TEXT(A349,"yyyy-mm"))</f>
        <v/>
      </c>
    </row>
    <row r="350">
      <c r="B350">
        <f>IF(A350="","",TEXT(A350,"yyyy-mm"))</f>
        <v/>
      </c>
    </row>
    <row r="351">
      <c r="B351">
        <f>IF(A351="","",TEXT(A351,"yyyy-mm"))</f>
        <v/>
      </c>
    </row>
    <row r="352">
      <c r="B352">
        <f>IF(A352="","",TEXT(A352,"yyyy-mm"))</f>
        <v/>
      </c>
    </row>
    <row r="353">
      <c r="B353">
        <f>IF(A353="","",TEXT(A353,"yyyy-mm"))</f>
        <v/>
      </c>
    </row>
    <row r="354">
      <c r="B354">
        <f>IF(A354="","",TEXT(A354,"yyyy-mm"))</f>
        <v/>
      </c>
    </row>
    <row r="355">
      <c r="B355">
        <f>IF(A355="","",TEXT(A355,"yyyy-mm"))</f>
        <v/>
      </c>
    </row>
    <row r="356">
      <c r="B356">
        <f>IF(A356="","",TEXT(A356,"yyyy-mm"))</f>
        <v/>
      </c>
    </row>
    <row r="357">
      <c r="B357">
        <f>IF(A357="","",TEXT(A357,"yyyy-mm"))</f>
        <v/>
      </c>
    </row>
    <row r="358">
      <c r="B358">
        <f>IF(A358="","",TEXT(A358,"yyyy-mm"))</f>
        <v/>
      </c>
    </row>
    <row r="359">
      <c r="B359">
        <f>IF(A359="","",TEXT(A359,"yyyy-mm"))</f>
        <v/>
      </c>
    </row>
    <row r="360">
      <c r="B360">
        <f>IF(A360="","",TEXT(A360,"yyyy-mm"))</f>
        <v/>
      </c>
    </row>
    <row r="361">
      <c r="B361">
        <f>IF(A361="","",TEXT(A361,"yyyy-mm"))</f>
        <v/>
      </c>
    </row>
    <row r="362">
      <c r="B362">
        <f>IF(A362="","",TEXT(A362,"yyyy-mm"))</f>
        <v/>
      </c>
    </row>
    <row r="363">
      <c r="B363">
        <f>IF(A363="","",TEXT(A363,"yyyy-mm"))</f>
        <v/>
      </c>
    </row>
    <row r="364">
      <c r="B364">
        <f>IF(A364="","",TEXT(A364,"yyyy-mm"))</f>
        <v/>
      </c>
    </row>
    <row r="365">
      <c r="B365">
        <f>IF(A365="","",TEXT(A365,"yyyy-mm"))</f>
        <v/>
      </c>
    </row>
    <row r="366">
      <c r="B366">
        <f>IF(A366="","",TEXT(A366,"yyyy-mm"))</f>
        <v/>
      </c>
    </row>
    <row r="367">
      <c r="B367">
        <f>IF(A367="","",TEXT(A367,"yyyy-mm"))</f>
        <v/>
      </c>
    </row>
    <row r="368">
      <c r="B368">
        <f>IF(A368="","",TEXT(A368,"yyyy-mm"))</f>
        <v/>
      </c>
    </row>
    <row r="369">
      <c r="B369">
        <f>IF(A369="","",TEXT(A369,"yyyy-mm"))</f>
        <v/>
      </c>
    </row>
    <row r="370">
      <c r="B370">
        <f>IF(A370="","",TEXT(A370,"yyyy-mm"))</f>
        <v/>
      </c>
    </row>
    <row r="371">
      <c r="B371">
        <f>IF(A371="","",TEXT(A371,"yyyy-mm"))</f>
        <v/>
      </c>
    </row>
    <row r="372">
      <c r="B372">
        <f>IF(A372="","",TEXT(A372,"yyyy-mm"))</f>
        <v/>
      </c>
    </row>
    <row r="373">
      <c r="B373">
        <f>IF(A373="","",TEXT(A373,"yyyy-mm"))</f>
        <v/>
      </c>
    </row>
    <row r="374">
      <c r="B374">
        <f>IF(A374="","",TEXT(A374,"yyyy-mm"))</f>
        <v/>
      </c>
    </row>
    <row r="375">
      <c r="B375">
        <f>IF(A375="","",TEXT(A375,"yyyy-mm"))</f>
        <v/>
      </c>
    </row>
    <row r="376">
      <c r="B376">
        <f>IF(A376="","",TEXT(A376,"yyyy-mm"))</f>
        <v/>
      </c>
    </row>
    <row r="377">
      <c r="B377">
        <f>IF(A377="","",TEXT(A377,"yyyy-mm"))</f>
        <v/>
      </c>
    </row>
    <row r="378">
      <c r="B378">
        <f>IF(A378="","",TEXT(A378,"yyyy-mm"))</f>
        <v/>
      </c>
    </row>
    <row r="379">
      <c r="B379">
        <f>IF(A379="","",TEXT(A379,"yyyy-mm"))</f>
        <v/>
      </c>
    </row>
    <row r="380">
      <c r="B380">
        <f>IF(A380="","",TEXT(A380,"yyyy-mm"))</f>
        <v/>
      </c>
    </row>
    <row r="381">
      <c r="B381">
        <f>IF(A381="","",TEXT(A381,"yyyy-mm"))</f>
        <v/>
      </c>
    </row>
    <row r="382">
      <c r="B382">
        <f>IF(A382="","",TEXT(A382,"yyyy-mm"))</f>
        <v/>
      </c>
    </row>
    <row r="383">
      <c r="B383">
        <f>IF(A383="","",TEXT(A383,"yyyy-mm"))</f>
        <v/>
      </c>
    </row>
    <row r="384">
      <c r="B384">
        <f>IF(A384="","",TEXT(A384,"yyyy-mm"))</f>
        <v/>
      </c>
    </row>
    <row r="385">
      <c r="B385">
        <f>IF(A385="","",TEXT(A385,"yyyy-mm"))</f>
        <v/>
      </c>
    </row>
    <row r="386">
      <c r="B386">
        <f>IF(A386="","",TEXT(A386,"yyyy-mm"))</f>
        <v/>
      </c>
    </row>
    <row r="387">
      <c r="B387">
        <f>IF(A387="","",TEXT(A387,"yyyy-mm"))</f>
        <v/>
      </c>
    </row>
    <row r="388">
      <c r="B388">
        <f>IF(A388="","",TEXT(A388,"yyyy-mm"))</f>
        <v/>
      </c>
    </row>
    <row r="389">
      <c r="B389">
        <f>IF(A389="","",TEXT(A389,"yyyy-mm"))</f>
        <v/>
      </c>
    </row>
    <row r="390">
      <c r="B390">
        <f>IF(A390="","",TEXT(A390,"yyyy-mm"))</f>
        <v/>
      </c>
    </row>
    <row r="391">
      <c r="B391">
        <f>IF(A391="","",TEXT(A391,"yyyy-mm"))</f>
        <v/>
      </c>
    </row>
    <row r="392">
      <c r="B392">
        <f>IF(A392="","",TEXT(A392,"yyyy-mm"))</f>
        <v/>
      </c>
    </row>
    <row r="393">
      <c r="B393">
        <f>IF(A393="","",TEXT(A393,"yyyy-mm"))</f>
        <v/>
      </c>
    </row>
    <row r="394">
      <c r="B394">
        <f>IF(A394="","",TEXT(A394,"yyyy-mm"))</f>
        <v/>
      </c>
    </row>
    <row r="395">
      <c r="B395">
        <f>IF(A395="","",TEXT(A395,"yyyy-mm"))</f>
        <v/>
      </c>
    </row>
    <row r="396">
      <c r="B396">
        <f>IF(A396="","",TEXT(A396,"yyyy-mm"))</f>
        <v/>
      </c>
    </row>
    <row r="397">
      <c r="B397">
        <f>IF(A397="","",TEXT(A397,"yyyy-mm"))</f>
        <v/>
      </c>
    </row>
    <row r="398">
      <c r="B398">
        <f>IF(A398="","",TEXT(A398,"yyyy-mm"))</f>
        <v/>
      </c>
    </row>
    <row r="399">
      <c r="B399">
        <f>IF(A399="","",TEXT(A399,"yyyy-mm"))</f>
        <v/>
      </c>
    </row>
    <row r="400">
      <c r="B400">
        <f>IF(A400="","",TEXT(A400,"yyyy-mm"))</f>
        <v/>
      </c>
    </row>
    <row r="401">
      <c r="B401">
        <f>IF(A401="","",TEXT(A401,"yyyy-mm"))</f>
        <v/>
      </c>
    </row>
    <row r="402">
      <c r="B402">
        <f>IF(A402="","",TEXT(A402,"yyyy-mm"))</f>
        <v/>
      </c>
    </row>
    <row r="403">
      <c r="B403">
        <f>IF(A403="","",TEXT(A403,"yyyy-mm"))</f>
        <v/>
      </c>
    </row>
    <row r="404">
      <c r="B404">
        <f>IF(A404="","",TEXT(A404,"yyyy-mm"))</f>
        <v/>
      </c>
    </row>
    <row r="405">
      <c r="B405">
        <f>IF(A405="","",TEXT(A405,"yyyy-mm"))</f>
        <v/>
      </c>
    </row>
    <row r="406">
      <c r="B406">
        <f>IF(A406="","",TEXT(A406,"yyyy-mm"))</f>
        <v/>
      </c>
    </row>
    <row r="407">
      <c r="B407">
        <f>IF(A407="","",TEXT(A407,"yyyy-mm"))</f>
        <v/>
      </c>
    </row>
    <row r="408">
      <c r="B408">
        <f>IF(A408="","",TEXT(A408,"yyyy-mm"))</f>
        <v/>
      </c>
    </row>
    <row r="409">
      <c r="B409">
        <f>IF(A409="","",TEXT(A409,"yyyy-mm"))</f>
        <v/>
      </c>
    </row>
    <row r="410">
      <c r="B410">
        <f>IF(A410="","",TEXT(A410,"yyyy-mm"))</f>
        <v/>
      </c>
    </row>
    <row r="411">
      <c r="B411">
        <f>IF(A411="","",TEXT(A411,"yyyy-mm"))</f>
        <v/>
      </c>
    </row>
    <row r="412">
      <c r="B412">
        <f>IF(A412="","",TEXT(A412,"yyyy-mm"))</f>
        <v/>
      </c>
    </row>
    <row r="413">
      <c r="B413">
        <f>IF(A413="","",TEXT(A413,"yyyy-mm"))</f>
        <v/>
      </c>
    </row>
    <row r="414">
      <c r="B414">
        <f>IF(A414="","",TEXT(A414,"yyyy-mm"))</f>
        <v/>
      </c>
    </row>
    <row r="415">
      <c r="B415">
        <f>IF(A415="","",TEXT(A415,"yyyy-mm"))</f>
        <v/>
      </c>
    </row>
    <row r="416">
      <c r="B416">
        <f>IF(A416="","",TEXT(A416,"yyyy-mm"))</f>
        <v/>
      </c>
    </row>
    <row r="417">
      <c r="B417">
        <f>IF(A417="","",TEXT(A417,"yyyy-mm"))</f>
        <v/>
      </c>
    </row>
    <row r="418">
      <c r="B418">
        <f>IF(A418="","",TEXT(A418,"yyyy-mm"))</f>
        <v/>
      </c>
    </row>
    <row r="419">
      <c r="B419">
        <f>IF(A419="","",TEXT(A419,"yyyy-mm"))</f>
        <v/>
      </c>
    </row>
    <row r="420">
      <c r="B420">
        <f>IF(A420="","",TEXT(A420,"yyyy-mm"))</f>
        <v/>
      </c>
    </row>
    <row r="421">
      <c r="B421">
        <f>IF(A421="","",TEXT(A421,"yyyy-mm"))</f>
        <v/>
      </c>
    </row>
    <row r="422">
      <c r="B422">
        <f>IF(A422="","",TEXT(A422,"yyyy-mm"))</f>
        <v/>
      </c>
    </row>
    <row r="423">
      <c r="B423">
        <f>IF(A423="","",TEXT(A423,"yyyy-mm"))</f>
        <v/>
      </c>
    </row>
    <row r="424">
      <c r="B424">
        <f>IF(A424="","",TEXT(A424,"yyyy-mm"))</f>
        <v/>
      </c>
    </row>
    <row r="425">
      <c r="B425">
        <f>IF(A425="","",TEXT(A425,"yyyy-mm"))</f>
        <v/>
      </c>
    </row>
    <row r="426">
      <c r="B426">
        <f>IF(A426="","",TEXT(A426,"yyyy-mm"))</f>
        <v/>
      </c>
    </row>
    <row r="427">
      <c r="B427">
        <f>IF(A427="","",TEXT(A427,"yyyy-mm"))</f>
        <v/>
      </c>
    </row>
    <row r="428">
      <c r="B428">
        <f>IF(A428="","",TEXT(A428,"yyyy-mm"))</f>
        <v/>
      </c>
    </row>
    <row r="429">
      <c r="B429">
        <f>IF(A429="","",TEXT(A429,"yyyy-mm"))</f>
        <v/>
      </c>
    </row>
    <row r="430">
      <c r="B430">
        <f>IF(A430="","",TEXT(A430,"yyyy-mm"))</f>
        <v/>
      </c>
    </row>
    <row r="431">
      <c r="B431">
        <f>IF(A431="","",TEXT(A431,"yyyy-mm"))</f>
        <v/>
      </c>
    </row>
    <row r="432">
      <c r="B432">
        <f>IF(A432="","",TEXT(A432,"yyyy-mm"))</f>
        <v/>
      </c>
    </row>
    <row r="433">
      <c r="B433">
        <f>IF(A433="","",TEXT(A433,"yyyy-mm"))</f>
        <v/>
      </c>
    </row>
    <row r="434">
      <c r="B434">
        <f>IF(A434="","",TEXT(A434,"yyyy-mm"))</f>
        <v/>
      </c>
    </row>
    <row r="435">
      <c r="B435">
        <f>IF(A435="","",TEXT(A435,"yyyy-mm"))</f>
        <v/>
      </c>
    </row>
    <row r="436">
      <c r="B436">
        <f>IF(A436="","",TEXT(A436,"yyyy-mm"))</f>
        <v/>
      </c>
    </row>
    <row r="437">
      <c r="B437">
        <f>IF(A437="","",TEXT(A437,"yyyy-mm"))</f>
        <v/>
      </c>
    </row>
    <row r="438">
      <c r="B438">
        <f>IF(A438="","",TEXT(A438,"yyyy-mm"))</f>
        <v/>
      </c>
    </row>
    <row r="439">
      <c r="B439">
        <f>IF(A439="","",TEXT(A439,"yyyy-mm"))</f>
        <v/>
      </c>
    </row>
    <row r="440">
      <c r="B440">
        <f>IF(A440="","",TEXT(A440,"yyyy-mm"))</f>
        <v/>
      </c>
    </row>
    <row r="441">
      <c r="B441">
        <f>IF(A441="","",TEXT(A441,"yyyy-mm"))</f>
        <v/>
      </c>
    </row>
    <row r="442">
      <c r="B442">
        <f>IF(A442="","",TEXT(A442,"yyyy-mm"))</f>
        <v/>
      </c>
    </row>
    <row r="443">
      <c r="B443">
        <f>IF(A443="","",TEXT(A443,"yyyy-mm"))</f>
        <v/>
      </c>
    </row>
    <row r="444">
      <c r="B444">
        <f>IF(A444="","",TEXT(A444,"yyyy-mm"))</f>
        <v/>
      </c>
    </row>
    <row r="445">
      <c r="B445">
        <f>IF(A445="","",TEXT(A445,"yyyy-mm"))</f>
        <v/>
      </c>
    </row>
    <row r="446">
      <c r="B446">
        <f>IF(A446="","",TEXT(A446,"yyyy-mm"))</f>
        <v/>
      </c>
    </row>
    <row r="447">
      <c r="B447">
        <f>IF(A447="","",TEXT(A447,"yyyy-mm"))</f>
        <v/>
      </c>
    </row>
    <row r="448">
      <c r="B448">
        <f>IF(A448="","",TEXT(A448,"yyyy-mm"))</f>
        <v/>
      </c>
    </row>
    <row r="449">
      <c r="B449">
        <f>IF(A449="","",TEXT(A449,"yyyy-mm"))</f>
        <v/>
      </c>
    </row>
    <row r="450">
      <c r="B450">
        <f>IF(A450="","",TEXT(A450,"yyyy-mm"))</f>
        <v/>
      </c>
    </row>
    <row r="451">
      <c r="B451">
        <f>IF(A451="","",TEXT(A451,"yyyy-mm"))</f>
        <v/>
      </c>
    </row>
    <row r="452">
      <c r="B452">
        <f>IF(A452="","",TEXT(A452,"yyyy-mm"))</f>
        <v/>
      </c>
    </row>
    <row r="453">
      <c r="B453">
        <f>IF(A453="","",TEXT(A453,"yyyy-mm"))</f>
        <v/>
      </c>
    </row>
    <row r="454">
      <c r="B454">
        <f>IF(A454="","",TEXT(A454,"yyyy-mm"))</f>
        <v/>
      </c>
    </row>
    <row r="455">
      <c r="B455">
        <f>IF(A455="","",TEXT(A455,"yyyy-mm"))</f>
        <v/>
      </c>
    </row>
    <row r="456">
      <c r="B456">
        <f>IF(A456="","",TEXT(A456,"yyyy-mm"))</f>
        <v/>
      </c>
    </row>
    <row r="457">
      <c r="B457">
        <f>IF(A457="","",TEXT(A457,"yyyy-mm"))</f>
        <v/>
      </c>
    </row>
    <row r="458">
      <c r="B458">
        <f>IF(A458="","",TEXT(A458,"yyyy-mm"))</f>
        <v/>
      </c>
    </row>
    <row r="459">
      <c r="B459">
        <f>IF(A459="","",TEXT(A459,"yyyy-mm"))</f>
        <v/>
      </c>
    </row>
    <row r="460">
      <c r="B460">
        <f>IF(A460="","",TEXT(A460,"yyyy-mm"))</f>
        <v/>
      </c>
    </row>
    <row r="461">
      <c r="B461">
        <f>IF(A461="","",TEXT(A461,"yyyy-mm"))</f>
        <v/>
      </c>
    </row>
    <row r="462">
      <c r="B462">
        <f>IF(A462="","",TEXT(A462,"yyyy-mm"))</f>
        <v/>
      </c>
    </row>
    <row r="463">
      <c r="B463">
        <f>IF(A463="","",TEXT(A463,"yyyy-mm"))</f>
        <v/>
      </c>
    </row>
    <row r="464">
      <c r="B464">
        <f>IF(A464="","",TEXT(A464,"yyyy-mm"))</f>
        <v/>
      </c>
    </row>
    <row r="465">
      <c r="B465">
        <f>IF(A465="","",TEXT(A465,"yyyy-mm"))</f>
        <v/>
      </c>
    </row>
    <row r="466">
      <c r="B466">
        <f>IF(A466="","",TEXT(A466,"yyyy-mm"))</f>
        <v/>
      </c>
    </row>
    <row r="467">
      <c r="B467">
        <f>IF(A467="","",TEXT(A467,"yyyy-mm"))</f>
        <v/>
      </c>
    </row>
    <row r="468">
      <c r="B468">
        <f>IF(A468="","",TEXT(A468,"yyyy-mm"))</f>
        <v/>
      </c>
    </row>
    <row r="469">
      <c r="B469">
        <f>IF(A469="","",TEXT(A469,"yyyy-mm"))</f>
        <v/>
      </c>
    </row>
    <row r="470">
      <c r="B470">
        <f>IF(A470="","",TEXT(A470,"yyyy-mm"))</f>
        <v/>
      </c>
    </row>
    <row r="471">
      <c r="B471">
        <f>IF(A471="","",TEXT(A471,"yyyy-mm"))</f>
        <v/>
      </c>
    </row>
    <row r="472">
      <c r="B472">
        <f>IF(A472="","",TEXT(A472,"yyyy-mm"))</f>
        <v/>
      </c>
    </row>
    <row r="473">
      <c r="B473">
        <f>IF(A473="","",TEXT(A473,"yyyy-mm"))</f>
        <v/>
      </c>
    </row>
    <row r="474">
      <c r="B474">
        <f>IF(A474="","",TEXT(A474,"yyyy-mm"))</f>
        <v/>
      </c>
    </row>
    <row r="475">
      <c r="B475">
        <f>IF(A475="","",TEXT(A475,"yyyy-mm"))</f>
        <v/>
      </c>
    </row>
    <row r="476">
      <c r="B476">
        <f>IF(A476="","",TEXT(A476,"yyyy-mm"))</f>
        <v/>
      </c>
    </row>
    <row r="477">
      <c r="B477">
        <f>IF(A477="","",TEXT(A477,"yyyy-mm"))</f>
        <v/>
      </c>
    </row>
    <row r="478">
      <c r="B478">
        <f>IF(A478="","",TEXT(A478,"yyyy-mm"))</f>
        <v/>
      </c>
    </row>
    <row r="479">
      <c r="B479">
        <f>IF(A479="","",TEXT(A479,"yyyy-mm"))</f>
        <v/>
      </c>
    </row>
    <row r="480">
      <c r="B480">
        <f>IF(A480="","",TEXT(A480,"yyyy-mm"))</f>
        <v/>
      </c>
    </row>
    <row r="481">
      <c r="B481">
        <f>IF(A481="","",TEXT(A481,"yyyy-mm"))</f>
        <v/>
      </c>
    </row>
    <row r="482">
      <c r="B482">
        <f>IF(A482="","",TEXT(A482,"yyyy-mm"))</f>
        <v/>
      </c>
    </row>
    <row r="483">
      <c r="B483">
        <f>IF(A483="","",TEXT(A483,"yyyy-mm"))</f>
        <v/>
      </c>
    </row>
    <row r="484">
      <c r="B484">
        <f>IF(A484="","",TEXT(A484,"yyyy-mm"))</f>
        <v/>
      </c>
    </row>
    <row r="485">
      <c r="B485">
        <f>IF(A485="","",TEXT(A485,"yyyy-mm"))</f>
        <v/>
      </c>
    </row>
    <row r="486">
      <c r="B486">
        <f>IF(A486="","",TEXT(A486,"yyyy-mm"))</f>
        <v/>
      </c>
    </row>
    <row r="487">
      <c r="B487">
        <f>IF(A487="","",TEXT(A487,"yyyy-mm"))</f>
        <v/>
      </c>
    </row>
    <row r="488">
      <c r="B488">
        <f>IF(A488="","",TEXT(A488,"yyyy-mm"))</f>
        <v/>
      </c>
    </row>
    <row r="489">
      <c r="B489">
        <f>IF(A489="","",TEXT(A489,"yyyy-mm"))</f>
        <v/>
      </c>
    </row>
    <row r="490">
      <c r="B490">
        <f>IF(A490="","",TEXT(A490,"yyyy-mm"))</f>
        <v/>
      </c>
    </row>
    <row r="491">
      <c r="B491">
        <f>IF(A491="","",TEXT(A491,"yyyy-mm"))</f>
        <v/>
      </c>
    </row>
    <row r="492">
      <c r="B492">
        <f>IF(A492="","",TEXT(A492,"yyyy-mm"))</f>
        <v/>
      </c>
    </row>
    <row r="493">
      <c r="B493">
        <f>IF(A493="","",TEXT(A493,"yyyy-mm"))</f>
        <v/>
      </c>
    </row>
    <row r="494">
      <c r="B494">
        <f>IF(A494="","",TEXT(A494,"yyyy-mm"))</f>
        <v/>
      </c>
    </row>
    <row r="495">
      <c r="B495">
        <f>IF(A495="","",TEXT(A495,"yyyy-mm"))</f>
        <v/>
      </c>
    </row>
    <row r="496">
      <c r="B496">
        <f>IF(A496="","",TEXT(A496,"yyyy-mm"))</f>
        <v/>
      </c>
    </row>
    <row r="497">
      <c r="B497">
        <f>IF(A497="","",TEXT(A497,"yyyy-mm"))</f>
        <v/>
      </c>
    </row>
    <row r="498">
      <c r="B498">
        <f>IF(A498="","",TEXT(A498,"yyyy-mm"))</f>
        <v/>
      </c>
    </row>
    <row r="499">
      <c r="B499">
        <f>IF(A499="","",TEXT(A499,"yyyy-mm"))</f>
        <v/>
      </c>
    </row>
    <row r="500">
      <c r="B500">
        <f>IF(A500="","",TEXT(A500,"yyyy-mm"))</f>
        <v/>
      </c>
    </row>
  </sheetData>
  <dataValidations count="1">
    <dataValidation sqref="D2:D1000" showDropDown="0" showInputMessage="0" showErrorMessage="0" allowBlank="0" type="list">
      <formula1>"Referral,Next-stay discount"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</cols>
  <sheetData>
    <row r="1">
      <c r="A1" s="1" t="inlineStr">
        <is>
          <t>Month (YYYY-MM)</t>
        </is>
      </c>
      <c r="B1" s="1" t="inlineStr">
        <is>
          <t>Partner</t>
        </is>
      </c>
      <c r="C1" s="1" t="inlineStr">
        <is>
          <t>Paid owners</t>
        </is>
      </c>
      <c r="D1" s="1" t="inlineStr">
        <is>
          <t>Holds (valid)</t>
        </is>
      </c>
      <c r="E1" s="1" t="inlineStr">
        <is>
          <t>Bonus (₹)</t>
        </is>
      </c>
      <c r="F1" s="1" t="inlineStr">
        <is>
          <t>Owed (₹)</t>
        </is>
      </c>
      <c r="G1" s="1" t="inlineStr">
        <is>
          <t>Paid on</t>
        </is>
      </c>
      <c r="H1" s="1" t="inlineStr">
        <is>
          <t>UPI ref</t>
        </is>
      </c>
      <c r="I1" s="1" t="inlineStr">
        <is>
          <t>Agreement signed? (Y/N)</t>
        </is>
      </c>
    </row>
    <row r="2">
      <c r="F2">
        <f>IF(B2="","",C2*200+MIN(D2,100)*20+E2)</f>
        <v/>
      </c>
    </row>
    <row r="3">
      <c r="F3">
        <f>IF(B3="","",C3*200+MIN(D3,100)*20+E3)</f>
        <v/>
      </c>
    </row>
    <row r="4">
      <c r="F4">
        <f>IF(B4="","",C4*200+MIN(D4,100)*20+E4)</f>
        <v/>
      </c>
    </row>
    <row r="5">
      <c r="F5">
        <f>IF(B5="","",C5*200+MIN(D5,100)*20+E5)</f>
        <v/>
      </c>
    </row>
    <row r="6">
      <c r="F6">
        <f>IF(B6="","",C6*200+MIN(D6,100)*20+E6)</f>
        <v/>
      </c>
    </row>
    <row r="7">
      <c r="F7">
        <f>IF(B7="","",C7*200+MIN(D7,100)*20+E7)</f>
        <v/>
      </c>
    </row>
    <row r="8">
      <c r="F8">
        <f>IF(B8="","",C8*200+MIN(D8,100)*20+E8)</f>
        <v/>
      </c>
    </row>
    <row r="9">
      <c r="F9">
        <f>IF(B9="","",C9*200+MIN(D9,100)*20+E9)</f>
        <v/>
      </c>
    </row>
    <row r="10">
      <c r="F10">
        <f>IF(B10="","",C10*200+MIN(D10,100)*20+E10)</f>
        <v/>
      </c>
    </row>
    <row r="11">
      <c r="F11">
        <f>IF(B11="","",C11*200+MIN(D11,100)*20+E11)</f>
        <v/>
      </c>
    </row>
    <row r="12">
      <c r="F12">
        <f>IF(B12="","",C12*200+MIN(D12,100)*20+E12)</f>
        <v/>
      </c>
    </row>
    <row r="13">
      <c r="F13">
        <f>IF(B13="","",C13*200+MIN(D13,100)*20+E13)</f>
        <v/>
      </c>
    </row>
    <row r="14">
      <c r="F14">
        <f>IF(B14="","",C14*200+MIN(D14,100)*20+E14)</f>
        <v/>
      </c>
    </row>
    <row r="15">
      <c r="F15">
        <f>IF(B15="","",C15*200+MIN(D15,100)*20+E15)</f>
        <v/>
      </c>
    </row>
    <row r="16">
      <c r="F16">
        <f>IF(B16="","",C16*200+MIN(D16,100)*20+E16)</f>
        <v/>
      </c>
    </row>
    <row r="17">
      <c r="F17">
        <f>IF(B17="","",C17*200+MIN(D17,100)*20+E17)</f>
        <v/>
      </c>
    </row>
    <row r="18">
      <c r="F18">
        <f>IF(B18="","",C18*200+MIN(D18,100)*20+E18)</f>
        <v/>
      </c>
    </row>
    <row r="19">
      <c r="F19">
        <f>IF(B19="","",C19*200+MIN(D19,100)*20+E19)</f>
        <v/>
      </c>
    </row>
    <row r="20">
      <c r="F20">
        <f>IF(B20="","",C20*200+MIN(D20,100)*20+E20)</f>
        <v/>
      </c>
    </row>
    <row r="21">
      <c r="F21">
        <f>IF(B21="","",C21*200+MIN(D21,100)*20+E21)</f>
        <v/>
      </c>
    </row>
    <row r="22">
      <c r="F22">
        <f>IF(B22="","",C22*200+MIN(D22,100)*20+E22)</f>
        <v/>
      </c>
    </row>
    <row r="23">
      <c r="F23">
        <f>IF(B23="","",C23*200+MIN(D23,100)*20+E23)</f>
        <v/>
      </c>
    </row>
    <row r="24">
      <c r="F24">
        <f>IF(B24="","",C24*200+MIN(D24,100)*20+E24)</f>
        <v/>
      </c>
    </row>
    <row r="25">
      <c r="F25">
        <f>IF(B25="","",C25*200+MIN(D25,100)*20+E25)</f>
        <v/>
      </c>
    </row>
    <row r="26">
      <c r="F26">
        <f>IF(B26="","",C26*200+MIN(D26,100)*20+E26)</f>
        <v/>
      </c>
    </row>
    <row r="27">
      <c r="F27">
        <f>IF(B27="","",C27*200+MIN(D27,100)*20+E27)</f>
        <v/>
      </c>
    </row>
    <row r="28">
      <c r="F28">
        <f>IF(B28="","",C28*200+MIN(D28,100)*20+E28)</f>
        <v/>
      </c>
    </row>
    <row r="29">
      <c r="F29">
        <f>IF(B29="","",C29*200+MIN(D29,100)*20+E29)</f>
        <v/>
      </c>
    </row>
    <row r="30">
      <c r="F30">
        <f>IF(B30="","",C30*200+MIN(D30,100)*20+E30)</f>
        <v/>
      </c>
    </row>
    <row r="31">
      <c r="F31">
        <f>IF(B31="","",C31*200+MIN(D31,100)*20+E31)</f>
        <v/>
      </c>
    </row>
    <row r="32">
      <c r="F32">
        <f>IF(B32="","",C32*200+MIN(D32,100)*20+E32)</f>
        <v/>
      </c>
    </row>
    <row r="33">
      <c r="F33">
        <f>IF(B33="","",C33*200+MIN(D33,100)*20+E33)</f>
        <v/>
      </c>
    </row>
    <row r="34">
      <c r="F34">
        <f>IF(B34="","",C34*200+MIN(D34,100)*20+E34)</f>
        <v/>
      </c>
    </row>
    <row r="35">
      <c r="F35">
        <f>IF(B35="","",C35*200+MIN(D35,100)*20+E35)</f>
        <v/>
      </c>
    </row>
    <row r="36">
      <c r="F36">
        <f>IF(B36="","",C36*200+MIN(D36,100)*20+E36)</f>
        <v/>
      </c>
    </row>
    <row r="37">
      <c r="F37">
        <f>IF(B37="","",C37*200+MIN(D37,100)*20+E37)</f>
        <v/>
      </c>
    </row>
    <row r="38">
      <c r="F38">
        <f>IF(B38="","",C38*200+MIN(D38,100)*20+E38)</f>
        <v/>
      </c>
    </row>
    <row r="39">
      <c r="F39">
        <f>IF(B39="","",C39*200+MIN(D39,100)*20+E39)</f>
        <v/>
      </c>
    </row>
    <row r="40">
      <c r="F40">
        <f>IF(B40="","",C40*200+MIN(D40,100)*20+E40)</f>
        <v/>
      </c>
    </row>
    <row r="41">
      <c r="F41">
        <f>IF(B41="","",C41*200+MIN(D41,100)*20+E41)</f>
        <v/>
      </c>
    </row>
    <row r="42">
      <c r="F42">
        <f>IF(B42="","",C42*200+MIN(D42,100)*20+E42)</f>
        <v/>
      </c>
    </row>
    <row r="43">
      <c r="F43">
        <f>IF(B43="","",C43*200+MIN(D43,100)*20+E43)</f>
        <v/>
      </c>
    </row>
    <row r="44">
      <c r="F44">
        <f>IF(B44="","",C44*200+MIN(D44,100)*20+E44)</f>
        <v/>
      </c>
    </row>
    <row r="45">
      <c r="F45">
        <f>IF(B45="","",C45*200+MIN(D45,100)*20+E45)</f>
        <v/>
      </c>
    </row>
    <row r="46">
      <c r="F46">
        <f>IF(B46="","",C46*200+MIN(D46,100)*20+E46)</f>
        <v/>
      </c>
    </row>
    <row r="47">
      <c r="F47">
        <f>IF(B47="","",C47*200+MIN(D47,100)*20+E47)</f>
        <v/>
      </c>
    </row>
    <row r="48">
      <c r="F48">
        <f>IF(B48="","",C48*200+MIN(D48,100)*20+E48)</f>
        <v/>
      </c>
    </row>
    <row r="49">
      <c r="F49">
        <f>IF(B49="","",C49*200+MIN(D49,100)*20+E49)</f>
        <v/>
      </c>
    </row>
    <row r="50">
      <c r="F50">
        <f>IF(B50="","",C50*200+MIN(D50,100)*20+E50)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>
      <c r="A1" s="1" t="inlineStr">
        <is>
          <t>Month</t>
        </is>
      </c>
      <c r="B1" s="1" t="inlineStr">
        <is>
          <t>Owner income</t>
        </is>
      </c>
      <c r="C1" s="1" t="inlineStr">
        <is>
          <t>Money out</t>
        </is>
      </c>
      <c r="D1" s="1" t="inlineStr">
        <is>
          <t>Profit / loss</t>
        </is>
      </c>
      <c r="E1" s="1" t="inlineStr">
        <is>
          <t>Paid hostels</t>
        </is>
      </c>
      <c r="F1" s="1" t="inlineStr">
        <is>
          <t>Tech</t>
        </is>
      </c>
      <c r="G1" s="1" t="inlineStr">
        <is>
          <t>AI tokens</t>
        </is>
      </c>
      <c r="H1" s="1" t="inlineStr">
        <is>
          <t>Rewards</t>
        </is>
      </c>
      <c r="I1" s="1" t="inlineStr">
        <is>
          <t>Commission</t>
        </is>
      </c>
      <c r="J1" s="1" t="inlineStr">
        <is>
          <t>Print</t>
        </is>
      </c>
      <c r="K1" s="1" t="inlineStr">
        <is>
          <t>Travel</t>
        </is>
      </c>
      <c r="L1" s="1" t="inlineStr">
        <is>
          <t>Ads</t>
        </is>
      </c>
      <c r="M1" s="1" t="inlineStr">
        <is>
          <t>Rewards over cap?</t>
        </is>
      </c>
      <c r="N1" s="1" t="inlineStr">
        <is>
          <t>Bank balance (all in − all out, to date)</t>
        </is>
      </c>
    </row>
    <row r="2">
      <c r="A2" t="inlineStr">
        <is>
          <t>2026-10</t>
        </is>
      </c>
      <c r="B2">
        <f>SUMIFS('Money in'!F:F,'Money in'!B:B,A2,'Money in'!C:C,"Owner plan")</f>
        <v/>
      </c>
      <c r="C2">
        <f>SUMIF('Money out'!B:B,A2,'Money out'!E:E)</f>
        <v/>
      </c>
      <c r="D2">
        <f>B2-C2</f>
        <v/>
      </c>
      <c r="E2">
        <f>COUNTIFS('Money in'!B:B,A2,'Money in'!C:C,"Owner plan")</f>
        <v/>
      </c>
      <c r="F2">
        <f>SUMIFS('Money out'!E:E,'Money out'!B:B,A2,'Money out'!D:D,"Tech")</f>
        <v/>
      </c>
      <c r="G2">
        <f>SUMIFS('Money out'!E:E,'Money out'!B:B,A2,'Money out'!D:D,"AI tokens")</f>
        <v/>
      </c>
      <c r="H2">
        <f>SUMIFS('Money out'!E:E,'Money out'!B:B,A2,'Money out'!D:D,"Rewards")</f>
        <v/>
      </c>
      <c r="I2">
        <f>SUMIFS('Money out'!E:E,'Money out'!B:B,A2,'Money out'!D:D,"Commission")</f>
        <v/>
      </c>
      <c r="J2">
        <f>SUMIFS('Money out'!E:E,'Money out'!B:B,A2,'Money out'!D:D,"Print")</f>
        <v/>
      </c>
      <c r="K2">
        <f>SUMIFS('Money out'!E:E,'Money out'!B:B,A2,'Money out'!D:D,"Travel")</f>
        <v/>
      </c>
      <c r="L2">
        <f>SUMIFS('Money out'!E:E,'Money out'!B:B,A2,'Money out'!D:D,"Ads")</f>
        <v/>
      </c>
      <c r="M2">
        <f>IF(H2&gt;Budget!B4,"OVER","ok")</f>
        <v/>
      </c>
      <c r="N2">
        <f>SUMIF('Money in'!B:B,A2,'Money in'!F:F)-C2</f>
        <v/>
      </c>
    </row>
    <row r="3">
      <c r="A3" t="inlineStr">
        <is>
          <t>2026-11</t>
        </is>
      </c>
      <c r="B3">
        <f>SUMIFS('Money in'!F:F,'Money in'!B:B,A3,'Money in'!C:C,"Owner plan")</f>
        <v/>
      </c>
      <c r="C3">
        <f>SUMIF('Money out'!B:B,A3,'Money out'!E:E)</f>
        <v/>
      </c>
      <c r="D3">
        <f>B3-C3</f>
        <v/>
      </c>
      <c r="E3">
        <f>COUNTIFS('Money in'!B:B,A3,'Money in'!C:C,"Owner plan")</f>
        <v/>
      </c>
      <c r="F3">
        <f>SUMIFS('Money out'!E:E,'Money out'!B:B,A3,'Money out'!D:D,"Tech")</f>
        <v/>
      </c>
      <c r="G3">
        <f>SUMIFS('Money out'!E:E,'Money out'!B:B,A3,'Money out'!D:D,"AI tokens")</f>
        <v/>
      </c>
      <c r="H3">
        <f>SUMIFS('Money out'!E:E,'Money out'!B:B,A3,'Money out'!D:D,"Rewards")</f>
        <v/>
      </c>
      <c r="I3">
        <f>SUMIFS('Money out'!E:E,'Money out'!B:B,A3,'Money out'!D:D,"Commission")</f>
        <v/>
      </c>
      <c r="J3">
        <f>SUMIFS('Money out'!E:E,'Money out'!B:B,A3,'Money out'!D:D,"Print")</f>
        <v/>
      </c>
      <c r="K3">
        <f>SUMIFS('Money out'!E:E,'Money out'!B:B,A3,'Money out'!D:D,"Travel")</f>
        <v/>
      </c>
      <c r="L3">
        <f>SUMIFS('Money out'!E:E,'Money out'!B:B,A3,'Money out'!D:D,"Ads")</f>
        <v/>
      </c>
      <c r="M3">
        <f>IF(H3&gt;Budget!B4,"OVER","ok")</f>
        <v/>
      </c>
      <c r="N3">
        <f>N2+SUMIF('Money in'!B:B,A3,'Money in'!F:F)-C3</f>
        <v/>
      </c>
    </row>
    <row r="4">
      <c r="A4" t="inlineStr">
        <is>
          <t>2026-12</t>
        </is>
      </c>
      <c r="B4">
        <f>SUMIFS('Money in'!F:F,'Money in'!B:B,A4,'Money in'!C:C,"Owner plan")</f>
        <v/>
      </c>
      <c r="C4">
        <f>SUMIF('Money out'!B:B,A4,'Money out'!E:E)</f>
        <v/>
      </c>
      <c r="D4">
        <f>B4-C4</f>
        <v/>
      </c>
      <c r="E4">
        <f>COUNTIFS('Money in'!B:B,A4,'Money in'!C:C,"Owner plan")</f>
        <v/>
      </c>
      <c r="F4">
        <f>SUMIFS('Money out'!E:E,'Money out'!B:B,A4,'Money out'!D:D,"Tech")</f>
        <v/>
      </c>
      <c r="G4">
        <f>SUMIFS('Money out'!E:E,'Money out'!B:B,A4,'Money out'!D:D,"AI tokens")</f>
        <v/>
      </c>
      <c r="H4">
        <f>SUMIFS('Money out'!E:E,'Money out'!B:B,A4,'Money out'!D:D,"Rewards")</f>
        <v/>
      </c>
      <c r="I4">
        <f>SUMIFS('Money out'!E:E,'Money out'!B:B,A4,'Money out'!D:D,"Commission")</f>
        <v/>
      </c>
      <c r="J4">
        <f>SUMIFS('Money out'!E:E,'Money out'!B:B,A4,'Money out'!D:D,"Print")</f>
        <v/>
      </c>
      <c r="K4">
        <f>SUMIFS('Money out'!E:E,'Money out'!B:B,A4,'Money out'!D:D,"Travel")</f>
        <v/>
      </c>
      <c r="L4">
        <f>SUMIFS('Money out'!E:E,'Money out'!B:B,A4,'Money out'!D:D,"Ads")</f>
        <v/>
      </c>
      <c r="M4">
        <f>IF(H4&gt;Budget!B4,"OVER","ok")</f>
        <v/>
      </c>
      <c r="N4">
        <f>N3+SUMIF('Money in'!B:B,A4,'Money in'!F:F)-C4</f>
        <v/>
      </c>
    </row>
    <row r="5">
      <c r="A5" t="inlineStr">
        <is>
          <t>2027-01</t>
        </is>
      </c>
      <c r="B5">
        <f>SUMIFS('Money in'!F:F,'Money in'!B:B,A5,'Money in'!C:C,"Owner plan")</f>
        <v/>
      </c>
      <c r="C5">
        <f>SUMIF('Money out'!B:B,A5,'Money out'!E:E)</f>
        <v/>
      </c>
      <c r="D5">
        <f>B5-C5</f>
        <v/>
      </c>
      <c r="E5">
        <f>COUNTIFS('Money in'!B:B,A5,'Money in'!C:C,"Owner plan")</f>
        <v/>
      </c>
      <c r="F5">
        <f>SUMIFS('Money out'!E:E,'Money out'!B:B,A5,'Money out'!D:D,"Tech")</f>
        <v/>
      </c>
      <c r="G5">
        <f>SUMIFS('Money out'!E:E,'Money out'!B:B,A5,'Money out'!D:D,"AI tokens")</f>
        <v/>
      </c>
      <c r="H5">
        <f>SUMIFS('Money out'!E:E,'Money out'!B:B,A5,'Money out'!D:D,"Rewards")</f>
        <v/>
      </c>
      <c r="I5">
        <f>SUMIFS('Money out'!E:E,'Money out'!B:B,A5,'Money out'!D:D,"Commission")</f>
        <v/>
      </c>
      <c r="J5">
        <f>SUMIFS('Money out'!E:E,'Money out'!B:B,A5,'Money out'!D:D,"Print")</f>
        <v/>
      </c>
      <c r="K5">
        <f>SUMIFS('Money out'!E:E,'Money out'!B:B,A5,'Money out'!D:D,"Travel")</f>
        <v/>
      </c>
      <c r="L5">
        <f>SUMIFS('Money out'!E:E,'Money out'!B:B,A5,'Money out'!D:D,"Ads")</f>
        <v/>
      </c>
      <c r="M5">
        <f>IF(H5&gt;Budget!B4,"OVER","ok")</f>
        <v/>
      </c>
      <c r="N5">
        <f>N4+SUMIF('Money in'!B:B,A5,'Money in'!F:F)-C5</f>
        <v/>
      </c>
    </row>
    <row r="6">
      <c r="A6" t="inlineStr">
        <is>
          <t>2027-02</t>
        </is>
      </c>
      <c r="B6">
        <f>SUMIFS('Money in'!F:F,'Money in'!B:B,A6,'Money in'!C:C,"Owner plan")</f>
        <v/>
      </c>
      <c r="C6">
        <f>SUMIF('Money out'!B:B,A6,'Money out'!E:E)</f>
        <v/>
      </c>
      <c r="D6">
        <f>B6-C6</f>
        <v/>
      </c>
      <c r="E6">
        <f>COUNTIFS('Money in'!B:B,A6,'Money in'!C:C,"Owner plan")</f>
        <v/>
      </c>
      <c r="F6">
        <f>SUMIFS('Money out'!E:E,'Money out'!B:B,A6,'Money out'!D:D,"Tech")</f>
        <v/>
      </c>
      <c r="G6">
        <f>SUMIFS('Money out'!E:E,'Money out'!B:B,A6,'Money out'!D:D,"AI tokens")</f>
        <v/>
      </c>
      <c r="H6">
        <f>SUMIFS('Money out'!E:E,'Money out'!B:B,A6,'Money out'!D:D,"Rewards")</f>
        <v/>
      </c>
      <c r="I6">
        <f>SUMIFS('Money out'!E:E,'Money out'!B:B,A6,'Money out'!D:D,"Commission")</f>
        <v/>
      </c>
      <c r="J6">
        <f>SUMIFS('Money out'!E:E,'Money out'!B:B,A6,'Money out'!D:D,"Print")</f>
        <v/>
      </c>
      <c r="K6">
        <f>SUMIFS('Money out'!E:E,'Money out'!B:B,A6,'Money out'!D:D,"Travel")</f>
        <v/>
      </c>
      <c r="L6">
        <f>SUMIFS('Money out'!E:E,'Money out'!B:B,A6,'Money out'!D:D,"Ads")</f>
        <v/>
      </c>
      <c r="M6">
        <f>IF(H6&gt;Budget!B4,"OVER","ok")</f>
        <v/>
      </c>
      <c r="N6">
        <f>N5+SUMIF('Money in'!B:B,A6,'Money in'!F:F)-C6</f>
        <v/>
      </c>
    </row>
    <row r="7">
      <c r="A7" t="inlineStr">
        <is>
          <t>2027-03</t>
        </is>
      </c>
      <c r="B7">
        <f>SUMIFS('Money in'!F:F,'Money in'!B:B,A7,'Money in'!C:C,"Owner plan")</f>
        <v/>
      </c>
      <c r="C7">
        <f>SUMIF('Money out'!B:B,A7,'Money out'!E:E)</f>
        <v/>
      </c>
      <c r="D7">
        <f>B7-C7</f>
        <v/>
      </c>
      <c r="E7">
        <f>COUNTIFS('Money in'!B:B,A7,'Money in'!C:C,"Owner plan")</f>
        <v/>
      </c>
      <c r="F7">
        <f>SUMIFS('Money out'!E:E,'Money out'!B:B,A7,'Money out'!D:D,"Tech")</f>
        <v/>
      </c>
      <c r="G7">
        <f>SUMIFS('Money out'!E:E,'Money out'!B:B,A7,'Money out'!D:D,"AI tokens")</f>
        <v/>
      </c>
      <c r="H7">
        <f>SUMIFS('Money out'!E:E,'Money out'!B:B,A7,'Money out'!D:D,"Rewards")</f>
        <v/>
      </c>
      <c r="I7">
        <f>SUMIFS('Money out'!E:E,'Money out'!B:B,A7,'Money out'!D:D,"Commission")</f>
        <v/>
      </c>
      <c r="J7">
        <f>SUMIFS('Money out'!E:E,'Money out'!B:B,A7,'Money out'!D:D,"Print")</f>
        <v/>
      </c>
      <c r="K7">
        <f>SUMIFS('Money out'!E:E,'Money out'!B:B,A7,'Money out'!D:D,"Travel")</f>
        <v/>
      </c>
      <c r="L7">
        <f>SUMIFS('Money out'!E:E,'Money out'!B:B,A7,'Money out'!D:D,"Ads")</f>
        <v/>
      </c>
      <c r="M7">
        <f>IF(H7&gt;Budget!B4,"OVER","ok")</f>
        <v/>
      </c>
      <c r="N7">
        <f>N6+SUMIF('Money in'!B:B,A7,'Money in'!F:F)-C7</f>
        <v/>
      </c>
    </row>
    <row r="8">
      <c r="A8" t="inlineStr">
        <is>
          <t>2027-04</t>
        </is>
      </c>
      <c r="B8">
        <f>SUMIFS('Money in'!F:F,'Money in'!B:B,A8,'Money in'!C:C,"Owner plan")</f>
        <v/>
      </c>
      <c r="C8">
        <f>SUMIF('Money out'!B:B,A8,'Money out'!E:E)</f>
        <v/>
      </c>
      <c r="D8">
        <f>B8-C8</f>
        <v/>
      </c>
      <c r="E8">
        <f>COUNTIFS('Money in'!B:B,A8,'Money in'!C:C,"Owner plan")</f>
        <v/>
      </c>
      <c r="F8">
        <f>SUMIFS('Money out'!E:E,'Money out'!B:B,A8,'Money out'!D:D,"Tech")</f>
        <v/>
      </c>
      <c r="G8">
        <f>SUMIFS('Money out'!E:E,'Money out'!B:B,A8,'Money out'!D:D,"AI tokens")</f>
        <v/>
      </c>
      <c r="H8">
        <f>SUMIFS('Money out'!E:E,'Money out'!B:B,A8,'Money out'!D:D,"Rewards")</f>
        <v/>
      </c>
      <c r="I8">
        <f>SUMIFS('Money out'!E:E,'Money out'!B:B,A8,'Money out'!D:D,"Commission")</f>
        <v/>
      </c>
      <c r="J8">
        <f>SUMIFS('Money out'!E:E,'Money out'!B:B,A8,'Money out'!D:D,"Print")</f>
        <v/>
      </c>
      <c r="K8">
        <f>SUMIFS('Money out'!E:E,'Money out'!B:B,A8,'Money out'!D:D,"Travel")</f>
        <v/>
      </c>
      <c r="L8">
        <f>SUMIFS('Money out'!E:E,'Money out'!B:B,A8,'Money out'!D:D,"Ads")</f>
        <v/>
      </c>
      <c r="M8">
        <f>IF(H8&gt;Budget!B4,"OVER","ok")</f>
        <v/>
      </c>
      <c r="N8">
        <f>N7+SUMIF('Money in'!B:B,A8,'Money in'!F:F)-C8</f>
        <v/>
      </c>
    </row>
    <row r="9">
      <c r="A9" t="inlineStr">
        <is>
          <t>2027-05</t>
        </is>
      </c>
      <c r="B9">
        <f>SUMIFS('Money in'!F:F,'Money in'!B:B,A9,'Money in'!C:C,"Owner plan")</f>
        <v/>
      </c>
      <c r="C9">
        <f>SUMIF('Money out'!B:B,A9,'Money out'!E:E)</f>
        <v/>
      </c>
      <c r="D9">
        <f>B9-C9</f>
        <v/>
      </c>
      <c r="E9">
        <f>COUNTIFS('Money in'!B:B,A9,'Money in'!C:C,"Owner plan")</f>
        <v/>
      </c>
      <c r="F9">
        <f>SUMIFS('Money out'!E:E,'Money out'!B:B,A9,'Money out'!D:D,"Tech")</f>
        <v/>
      </c>
      <c r="G9">
        <f>SUMIFS('Money out'!E:E,'Money out'!B:B,A9,'Money out'!D:D,"AI tokens")</f>
        <v/>
      </c>
      <c r="H9">
        <f>SUMIFS('Money out'!E:E,'Money out'!B:B,A9,'Money out'!D:D,"Rewards")</f>
        <v/>
      </c>
      <c r="I9">
        <f>SUMIFS('Money out'!E:E,'Money out'!B:B,A9,'Money out'!D:D,"Commission")</f>
        <v/>
      </c>
      <c r="J9">
        <f>SUMIFS('Money out'!E:E,'Money out'!B:B,A9,'Money out'!D:D,"Print")</f>
        <v/>
      </c>
      <c r="K9">
        <f>SUMIFS('Money out'!E:E,'Money out'!B:B,A9,'Money out'!D:D,"Travel")</f>
        <v/>
      </c>
      <c r="L9">
        <f>SUMIFS('Money out'!E:E,'Money out'!B:B,A9,'Money out'!D:D,"Ads")</f>
        <v/>
      </c>
      <c r="M9">
        <f>IF(H9&gt;Budget!B4,"OVER","ok")</f>
        <v/>
      </c>
      <c r="N9">
        <f>N8+SUMIF('Money in'!B:B,A9,'Money in'!F:F)-C9</f>
        <v/>
      </c>
    </row>
    <row r="10">
      <c r="A10" t="inlineStr">
        <is>
          <t>2027-06</t>
        </is>
      </c>
      <c r="B10">
        <f>SUMIFS('Money in'!F:F,'Money in'!B:B,A10,'Money in'!C:C,"Owner plan")</f>
        <v/>
      </c>
      <c r="C10">
        <f>SUMIF('Money out'!B:B,A10,'Money out'!E:E)</f>
        <v/>
      </c>
      <c r="D10">
        <f>B10-C10</f>
        <v/>
      </c>
      <c r="E10">
        <f>COUNTIFS('Money in'!B:B,A10,'Money in'!C:C,"Owner plan")</f>
        <v/>
      </c>
      <c r="F10">
        <f>SUMIFS('Money out'!E:E,'Money out'!B:B,A10,'Money out'!D:D,"Tech")</f>
        <v/>
      </c>
      <c r="G10">
        <f>SUMIFS('Money out'!E:E,'Money out'!B:B,A10,'Money out'!D:D,"AI tokens")</f>
        <v/>
      </c>
      <c r="H10">
        <f>SUMIFS('Money out'!E:E,'Money out'!B:B,A10,'Money out'!D:D,"Rewards")</f>
        <v/>
      </c>
      <c r="I10">
        <f>SUMIFS('Money out'!E:E,'Money out'!B:B,A10,'Money out'!D:D,"Commission")</f>
        <v/>
      </c>
      <c r="J10">
        <f>SUMIFS('Money out'!E:E,'Money out'!B:B,A10,'Money out'!D:D,"Print")</f>
        <v/>
      </c>
      <c r="K10">
        <f>SUMIFS('Money out'!E:E,'Money out'!B:B,A10,'Money out'!D:D,"Travel")</f>
        <v/>
      </c>
      <c r="L10">
        <f>SUMIFS('Money out'!E:E,'Money out'!B:B,A10,'Money out'!D:D,"Ads")</f>
        <v/>
      </c>
      <c r="M10">
        <f>IF(H10&gt;Budget!B4,"OVER","ok")</f>
        <v/>
      </c>
      <c r="N10">
        <f>N9+SUMIF('Money in'!B:B,A10,'Money in'!F:F)-C10</f>
        <v/>
      </c>
    </row>
    <row r="11">
      <c r="A11" t="inlineStr">
        <is>
          <t>2027-07</t>
        </is>
      </c>
      <c r="B11">
        <f>SUMIFS('Money in'!F:F,'Money in'!B:B,A11,'Money in'!C:C,"Owner plan")</f>
        <v/>
      </c>
      <c r="C11">
        <f>SUMIF('Money out'!B:B,A11,'Money out'!E:E)</f>
        <v/>
      </c>
      <c r="D11">
        <f>B11-C11</f>
        <v/>
      </c>
      <c r="E11">
        <f>COUNTIFS('Money in'!B:B,A11,'Money in'!C:C,"Owner plan")</f>
        <v/>
      </c>
      <c r="F11">
        <f>SUMIFS('Money out'!E:E,'Money out'!B:B,A11,'Money out'!D:D,"Tech")</f>
        <v/>
      </c>
      <c r="G11">
        <f>SUMIFS('Money out'!E:E,'Money out'!B:B,A11,'Money out'!D:D,"AI tokens")</f>
        <v/>
      </c>
      <c r="H11">
        <f>SUMIFS('Money out'!E:E,'Money out'!B:B,A11,'Money out'!D:D,"Rewards")</f>
        <v/>
      </c>
      <c r="I11">
        <f>SUMIFS('Money out'!E:E,'Money out'!B:B,A11,'Money out'!D:D,"Commission")</f>
        <v/>
      </c>
      <c r="J11">
        <f>SUMIFS('Money out'!E:E,'Money out'!B:B,A11,'Money out'!D:D,"Print")</f>
        <v/>
      </c>
      <c r="K11">
        <f>SUMIFS('Money out'!E:E,'Money out'!B:B,A11,'Money out'!D:D,"Travel")</f>
        <v/>
      </c>
      <c r="L11">
        <f>SUMIFS('Money out'!E:E,'Money out'!B:B,A11,'Money out'!D:D,"Ads")</f>
        <v/>
      </c>
      <c r="M11">
        <f>IF(H11&gt;Budget!B4,"OVER","ok")</f>
        <v/>
      </c>
      <c r="N11">
        <f>N10+SUMIF('Money in'!B:B,A11,'Money in'!F:F)-C11</f>
        <v/>
      </c>
    </row>
    <row r="12">
      <c r="A12" t="inlineStr">
        <is>
          <t>2027-08</t>
        </is>
      </c>
      <c r="B12">
        <f>SUMIFS('Money in'!F:F,'Money in'!B:B,A12,'Money in'!C:C,"Owner plan")</f>
        <v/>
      </c>
      <c r="C12">
        <f>SUMIF('Money out'!B:B,A12,'Money out'!E:E)</f>
        <v/>
      </c>
      <c r="D12">
        <f>B12-C12</f>
        <v/>
      </c>
      <c r="E12">
        <f>COUNTIFS('Money in'!B:B,A12,'Money in'!C:C,"Owner plan")</f>
        <v/>
      </c>
      <c r="F12">
        <f>SUMIFS('Money out'!E:E,'Money out'!B:B,A12,'Money out'!D:D,"Tech")</f>
        <v/>
      </c>
      <c r="G12">
        <f>SUMIFS('Money out'!E:E,'Money out'!B:B,A12,'Money out'!D:D,"AI tokens")</f>
        <v/>
      </c>
      <c r="H12">
        <f>SUMIFS('Money out'!E:E,'Money out'!B:B,A12,'Money out'!D:D,"Rewards")</f>
        <v/>
      </c>
      <c r="I12">
        <f>SUMIFS('Money out'!E:E,'Money out'!B:B,A12,'Money out'!D:D,"Commission")</f>
        <v/>
      </c>
      <c r="J12">
        <f>SUMIFS('Money out'!E:E,'Money out'!B:B,A12,'Money out'!D:D,"Print")</f>
        <v/>
      </c>
      <c r="K12">
        <f>SUMIFS('Money out'!E:E,'Money out'!B:B,A12,'Money out'!D:D,"Travel")</f>
        <v/>
      </c>
      <c r="L12">
        <f>SUMIFS('Money out'!E:E,'Money out'!B:B,A12,'Money out'!D:D,"Ads")</f>
        <v/>
      </c>
      <c r="M12">
        <f>IF(H12&gt;Budget!B4,"OVER","ok")</f>
        <v/>
      </c>
      <c r="N12">
        <f>N11+SUMIF('Money in'!B:B,A12,'Money in'!F:F)-C12</f>
        <v/>
      </c>
    </row>
    <row r="13">
      <c r="A13" t="inlineStr">
        <is>
          <t>2027-09</t>
        </is>
      </c>
      <c r="B13">
        <f>SUMIFS('Money in'!F:F,'Money in'!B:B,A13,'Money in'!C:C,"Owner plan")</f>
        <v/>
      </c>
      <c r="C13">
        <f>SUMIF('Money out'!B:B,A13,'Money out'!E:E)</f>
        <v/>
      </c>
      <c r="D13">
        <f>B13-C13</f>
        <v/>
      </c>
      <c r="E13">
        <f>COUNTIFS('Money in'!B:B,A13,'Money in'!C:C,"Owner plan")</f>
        <v/>
      </c>
      <c r="F13">
        <f>SUMIFS('Money out'!E:E,'Money out'!B:B,A13,'Money out'!D:D,"Tech")</f>
        <v/>
      </c>
      <c r="G13">
        <f>SUMIFS('Money out'!E:E,'Money out'!B:B,A13,'Money out'!D:D,"AI tokens")</f>
        <v/>
      </c>
      <c r="H13">
        <f>SUMIFS('Money out'!E:E,'Money out'!B:B,A13,'Money out'!D:D,"Rewards")</f>
        <v/>
      </c>
      <c r="I13">
        <f>SUMIFS('Money out'!E:E,'Money out'!B:B,A13,'Money out'!D:D,"Commission")</f>
        <v/>
      </c>
      <c r="J13">
        <f>SUMIFS('Money out'!E:E,'Money out'!B:B,A13,'Money out'!D:D,"Print")</f>
        <v/>
      </c>
      <c r="K13">
        <f>SUMIFS('Money out'!E:E,'Money out'!B:B,A13,'Money out'!D:D,"Travel")</f>
        <v/>
      </c>
      <c r="L13">
        <f>SUMIFS('Money out'!E:E,'Money out'!B:B,A13,'Money out'!D:D,"Ads")</f>
        <v/>
      </c>
      <c r="M13">
        <f>IF(H13&gt;Budget!B4,"OVER","ok")</f>
        <v/>
      </c>
      <c r="N13">
        <f>N12+SUMIF('Money in'!B:B,A13,'Money in'!F:F)-C13</f>
        <v/>
      </c>
    </row>
    <row r="15">
      <c r="A15" t="inlineStr">
        <is>
          <t>Note: Profit / loss counts only owner income. Put your monthly ₹40k in 'Money in' with Type = Founder top-up, so the bank balance column matches the real bank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2026-10-02T22:24:27Z</dcterms:created>
  <dcterms:modified xsi:type="dcterms:W3CDTF">2026-10-04T10:16:25Z</dcterms:modified>
</cp:coreProperties>
</file>